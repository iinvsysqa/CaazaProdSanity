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calcChain.xml" ContentType="application/vnd.openxmlformats-officedocument.spreadsheetml.calcChain+xml"/>
  <Override PartName="/xl/externalLinks/externalLink10.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2472" windowWidth="9996" windowHeight="5880" activeTab="1"/>
  </bookViews>
  <sheets>
    <sheet name="SUMMARY" sheetId="1" r:id="rId1"/>
    <sheet name="Automation" sheetId="2" r:id="rId2"/>
    <sheet name="Forget_Page" sheetId="3" state="hidden" r:id="rId3"/>
    <sheet name="Copy of Add_Switchboard_pras" sheetId="4" state="hidden" r:id="rId4"/>
    <sheet name="Copy of Add_Switchboard_OLD" sheetId="5" state="hidden" r:id="rId5"/>
    <sheet name="Issue_Track" sheetId="6" r:id="rId6"/>
    <sheet name="FeatureList" sheetId="7" r:id="rId7"/>
    <sheet name="Software Readiness" sheetId="8" r:id="rId8"/>
    <sheet name="Resource_Summary" sheetId="9"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calcPr calcId="124519"/>
</workbook>
</file>

<file path=xl/calcChain.xml><?xml version="1.0" encoding="utf-8"?>
<calcChain xmlns="http://schemas.openxmlformats.org/spreadsheetml/2006/main">
  <c r="AL20" i="9"/>
  <c r="AD20"/>
  <c r="Y20"/>
  <c r="T20"/>
  <c r="O20"/>
  <c r="J20"/>
  <c r="E20"/>
  <c r="D20"/>
  <c r="AL19"/>
  <c r="AL18"/>
  <c r="AL17"/>
  <c r="AL16"/>
  <c r="AL15"/>
  <c r="AL14"/>
  <c r="AL13"/>
  <c r="AL12"/>
  <c r="AL11"/>
  <c r="AL10"/>
  <c r="AL9"/>
  <c r="AL8"/>
  <c r="AL7"/>
  <c r="AL6"/>
  <c r="AL5"/>
  <c r="E580" i="7"/>
  <c r="E579"/>
  <c r="E578"/>
  <c r="E577"/>
  <c r="E576"/>
  <c r="E575"/>
  <c r="F729" i="5"/>
  <c r="F728"/>
  <c r="F727"/>
  <c r="F726"/>
  <c r="F725"/>
  <c r="F724"/>
  <c r="F227"/>
  <c r="F226"/>
  <c r="F225"/>
  <c r="F224"/>
  <c r="F223"/>
  <c r="F222"/>
  <c r="F219"/>
  <c r="F218"/>
  <c r="F217"/>
  <c r="F216"/>
  <c r="F215"/>
  <c r="F214"/>
  <c r="F211"/>
  <c r="F210"/>
  <c r="F209"/>
  <c r="F208"/>
  <c r="F207"/>
  <c r="F206"/>
  <c r="F202"/>
  <c r="F201"/>
  <c r="F200"/>
  <c r="F199"/>
  <c r="F198"/>
  <c r="F197"/>
  <c r="F614" i="4"/>
  <c r="F613"/>
  <c r="F612"/>
  <c r="F611"/>
  <c r="F610"/>
  <c r="F609"/>
  <c r="E185"/>
  <c r="E184"/>
  <c r="E183"/>
  <c r="E182"/>
  <c r="E181"/>
  <c r="E180"/>
  <c r="E177"/>
  <c r="E176"/>
  <c r="E175"/>
  <c r="E174"/>
  <c r="E173"/>
  <c r="E172"/>
  <c r="E169"/>
  <c r="E168"/>
  <c r="E167"/>
  <c r="E166"/>
  <c r="E165"/>
  <c r="E164"/>
  <c r="E160"/>
  <c r="E159"/>
  <c r="E158"/>
  <c r="E157"/>
  <c r="E156"/>
  <c r="E155"/>
  <c r="F43" i="3"/>
  <c r="F42"/>
  <c r="F41"/>
  <c r="F40"/>
  <c r="F39"/>
  <c r="F38"/>
  <c r="F35"/>
  <c r="F34"/>
  <c r="F33"/>
  <c r="F32"/>
  <c r="F31"/>
  <c r="F30"/>
  <c r="F27"/>
  <c r="F26"/>
  <c r="F25"/>
  <c r="F24"/>
  <c r="F23"/>
  <c r="F22"/>
  <c r="F19"/>
  <c r="F18"/>
  <c r="F17"/>
  <c r="F16"/>
  <c r="F15"/>
  <c r="F14"/>
  <c r="F141" i="2"/>
  <c r="D110" i="1" s="1"/>
  <c r="D126" s="1"/>
  <c r="F140" i="2"/>
  <c r="E110" i="1" s="1"/>
  <c r="E126" s="1"/>
  <c r="F139" i="2"/>
  <c r="F138"/>
  <c r="F137"/>
  <c r="F136"/>
  <c r="F131"/>
  <c r="F130"/>
  <c r="H84" i="1" s="1"/>
  <c r="H100" s="1"/>
  <c r="F129" i="2"/>
  <c r="G84" i="1" s="1"/>
  <c r="G100" s="1"/>
  <c r="F128" i="2"/>
  <c r="F132" s="1"/>
  <c r="E84" i="1" s="1"/>
  <c r="E100" s="1"/>
  <c r="F125" i="2"/>
  <c r="D59" i="1" s="1"/>
  <c r="F124" i="2"/>
  <c r="E59" i="1" s="1"/>
  <c r="E75" s="1"/>
  <c r="F123" i="2"/>
  <c r="I59" i="1" s="1"/>
  <c r="I75" s="1"/>
  <c r="F122" i="2"/>
  <c r="H59" i="1" s="1"/>
  <c r="H75" s="1"/>
  <c r="F121" i="2"/>
  <c r="G59" i="1" s="1"/>
  <c r="G75" s="1"/>
  <c r="F120" i="2"/>
  <c r="F59" i="1" s="1"/>
  <c r="F75" s="1"/>
  <c r="F115" i="2"/>
  <c r="I33" i="1" s="1"/>
  <c r="I49" s="1"/>
  <c r="F114" i="2"/>
  <c r="H33" i="1" s="1"/>
  <c r="H49" s="1"/>
  <c r="F113" i="2"/>
  <c r="F145" s="1"/>
  <c r="G6" i="1" s="1"/>
  <c r="G22" s="1"/>
  <c r="F112" i="2"/>
  <c r="F33" i="1" s="1"/>
  <c r="F49" s="1"/>
  <c r="G126"/>
  <c r="F126"/>
  <c r="I124"/>
  <c r="H124"/>
  <c r="G124"/>
  <c r="F124"/>
  <c r="E124"/>
  <c r="P20" s="1"/>
  <c r="D124"/>
  <c r="E123"/>
  <c r="D123"/>
  <c r="E121"/>
  <c r="D121"/>
  <c r="I120"/>
  <c r="H120"/>
  <c r="G120"/>
  <c r="F120"/>
  <c r="E120"/>
  <c r="D120"/>
  <c r="I119"/>
  <c r="H119"/>
  <c r="G119"/>
  <c r="F119"/>
  <c r="E119"/>
  <c r="D119"/>
  <c r="I118"/>
  <c r="H118"/>
  <c r="G118"/>
  <c r="F118"/>
  <c r="E118"/>
  <c r="D118"/>
  <c r="I117"/>
  <c r="H117"/>
  <c r="G117"/>
  <c r="F117"/>
  <c r="E117"/>
  <c r="D117"/>
  <c r="I116"/>
  <c r="H116"/>
  <c r="G116"/>
  <c r="F116"/>
  <c r="E116"/>
  <c r="D116"/>
  <c r="I115"/>
  <c r="H115"/>
  <c r="G115"/>
  <c r="F115"/>
  <c r="E115"/>
  <c r="D115"/>
  <c r="I114"/>
  <c r="H114"/>
  <c r="G114"/>
  <c r="F114"/>
  <c r="E114"/>
  <c r="D114"/>
  <c r="I113"/>
  <c r="H113"/>
  <c r="G113"/>
  <c r="F113"/>
  <c r="E113"/>
  <c r="D113"/>
  <c r="I112"/>
  <c r="H112"/>
  <c r="G112"/>
  <c r="F112"/>
  <c r="E112"/>
  <c r="D112"/>
  <c r="I111"/>
  <c r="H111"/>
  <c r="G111"/>
  <c r="F111"/>
  <c r="E111"/>
  <c r="D111"/>
  <c r="I110"/>
  <c r="I126" s="1"/>
  <c r="H110"/>
  <c r="H126" s="1"/>
  <c r="G110"/>
  <c r="F110"/>
  <c r="I98"/>
  <c r="H98"/>
  <c r="G98"/>
  <c r="F98"/>
  <c r="E98"/>
  <c r="O20" s="1"/>
  <c r="D98"/>
  <c r="I97"/>
  <c r="H97"/>
  <c r="G97"/>
  <c r="F97"/>
  <c r="E97"/>
  <c r="D97"/>
  <c r="I96"/>
  <c r="H96"/>
  <c r="G96"/>
  <c r="F96"/>
  <c r="E96"/>
  <c r="D96"/>
  <c r="I95"/>
  <c r="H95"/>
  <c r="G95"/>
  <c r="F95"/>
  <c r="E95"/>
  <c r="D95"/>
  <c r="I94"/>
  <c r="H94"/>
  <c r="G94"/>
  <c r="F94"/>
  <c r="E94"/>
  <c r="D94"/>
  <c r="I93"/>
  <c r="H93"/>
  <c r="G93"/>
  <c r="F93"/>
  <c r="E93"/>
  <c r="D93"/>
  <c r="I92"/>
  <c r="H92"/>
  <c r="G92"/>
  <c r="F92"/>
  <c r="E92"/>
  <c r="D92"/>
  <c r="I91"/>
  <c r="H91"/>
  <c r="G91"/>
  <c r="F91"/>
  <c r="E91"/>
  <c r="D91"/>
  <c r="I90"/>
  <c r="H90"/>
  <c r="G90"/>
  <c r="F90"/>
  <c r="E90"/>
  <c r="D90"/>
  <c r="I89"/>
  <c r="H89"/>
  <c r="G89"/>
  <c r="F89"/>
  <c r="E89"/>
  <c r="D89"/>
  <c r="I88"/>
  <c r="H88"/>
  <c r="G88"/>
  <c r="F88"/>
  <c r="E88"/>
  <c r="D88"/>
  <c r="I87"/>
  <c r="H87"/>
  <c r="G87"/>
  <c r="F87"/>
  <c r="E87"/>
  <c r="D87"/>
  <c r="I86"/>
  <c r="H86"/>
  <c r="G86"/>
  <c r="F86"/>
  <c r="E86"/>
  <c r="D86"/>
  <c r="I85"/>
  <c r="H85"/>
  <c r="G85"/>
  <c r="F85"/>
  <c r="E85"/>
  <c r="D85"/>
  <c r="I84"/>
  <c r="I100" s="1"/>
  <c r="I73"/>
  <c r="H73"/>
  <c r="G73"/>
  <c r="F73"/>
  <c r="E73"/>
  <c r="N20" s="1"/>
  <c r="D73"/>
  <c r="I72"/>
  <c r="H72"/>
  <c r="G72"/>
  <c r="F72"/>
  <c r="E72"/>
  <c r="D72"/>
  <c r="I71"/>
  <c r="H71"/>
  <c r="G71"/>
  <c r="F71"/>
  <c r="E71"/>
  <c r="D71"/>
  <c r="I70"/>
  <c r="H70"/>
  <c r="G70"/>
  <c r="F70"/>
  <c r="E70"/>
  <c r="D70"/>
  <c r="I69"/>
  <c r="H69"/>
  <c r="G69"/>
  <c r="F69"/>
  <c r="E69"/>
  <c r="D69"/>
  <c r="I68"/>
  <c r="H68"/>
  <c r="G68"/>
  <c r="F68"/>
  <c r="E68"/>
  <c r="D68"/>
  <c r="I67"/>
  <c r="H67"/>
  <c r="G67"/>
  <c r="F67"/>
  <c r="E67"/>
  <c r="D67"/>
  <c r="I66"/>
  <c r="H66"/>
  <c r="G66"/>
  <c r="F66"/>
  <c r="E66"/>
  <c r="D66"/>
  <c r="I65"/>
  <c r="H65"/>
  <c r="G65"/>
  <c r="F65"/>
  <c r="E65"/>
  <c r="D65"/>
  <c r="I64"/>
  <c r="H64"/>
  <c r="G64"/>
  <c r="F64"/>
  <c r="E64"/>
  <c r="D64"/>
  <c r="I63"/>
  <c r="H63"/>
  <c r="G63"/>
  <c r="F63"/>
  <c r="E63"/>
  <c r="D63"/>
  <c r="I62"/>
  <c r="H62"/>
  <c r="G62"/>
  <c r="F62"/>
  <c r="E62"/>
  <c r="D62"/>
  <c r="I61"/>
  <c r="H61"/>
  <c r="G61"/>
  <c r="F61"/>
  <c r="E61"/>
  <c r="D61"/>
  <c r="I60"/>
  <c r="H60"/>
  <c r="G60"/>
  <c r="F60"/>
  <c r="E60"/>
  <c r="D60"/>
  <c r="I47"/>
  <c r="H47"/>
  <c r="G47"/>
  <c r="F47"/>
  <c r="E47"/>
  <c r="M20" s="1"/>
  <c r="D47"/>
  <c r="I46"/>
  <c r="H46"/>
  <c r="G46"/>
  <c r="F46"/>
  <c r="E46"/>
  <c r="D46"/>
  <c r="I45"/>
  <c r="H45"/>
  <c r="G45"/>
  <c r="F45"/>
  <c r="E45"/>
  <c r="D45"/>
  <c r="I44"/>
  <c r="H44"/>
  <c r="G44"/>
  <c r="F44"/>
  <c r="E44"/>
  <c r="D44"/>
  <c r="I43"/>
  <c r="H43"/>
  <c r="G43"/>
  <c r="F43"/>
  <c r="E43"/>
  <c r="D43"/>
  <c r="I42"/>
  <c r="H42"/>
  <c r="G42"/>
  <c r="F42"/>
  <c r="E42"/>
  <c r="D42"/>
  <c r="I41"/>
  <c r="H41"/>
  <c r="G41"/>
  <c r="F41"/>
  <c r="E41"/>
  <c r="D41"/>
  <c r="I40"/>
  <c r="H40"/>
  <c r="G40"/>
  <c r="F40"/>
  <c r="E40"/>
  <c r="D40"/>
  <c r="I39"/>
  <c r="H39"/>
  <c r="G39"/>
  <c r="F39"/>
  <c r="E39"/>
  <c r="D39"/>
  <c r="I38"/>
  <c r="H38"/>
  <c r="G38"/>
  <c r="F38"/>
  <c r="E38"/>
  <c r="D38"/>
  <c r="I37"/>
  <c r="H37"/>
  <c r="G37"/>
  <c r="F37"/>
  <c r="E37"/>
  <c r="D37"/>
  <c r="I36"/>
  <c r="H36"/>
  <c r="G36"/>
  <c r="F36"/>
  <c r="E36"/>
  <c r="D36"/>
  <c r="I35"/>
  <c r="H35"/>
  <c r="G35"/>
  <c r="F35"/>
  <c r="E35"/>
  <c r="D35"/>
  <c r="I34"/>
  <c r="H34"/>
  <c r="G34"/>
  <c r="F34"/>
  <c r="E34"/>
  <c r="D34"/>
  <c r="Q21"/>
  <c r="P21"/>
  <c r="O21"/>
  <c r="N21"/>
  <c r="M21"/>
  <c r="I21"/>
  <c r="H21"/>
  <c r="G21"/>
  <c r="F21"/>
  <c r="E21"/>
  <c r="D21"/>
  <c r="Q20"/>
  <c r="I20"/>
  <c r="H20"/>
  <c r="G20"/>
  <c r="F20"/>
  <c r="E20"/>
  <c r="D20"/>
  <c r="Q19"/>
  <c r="P19"/>
  <c r="O19"/>
  <c r="N19"/>
  <c r="M19"/>
  <c r="I19"/>
  <c r="H19"/>
  <c r="G19"/>
  <c r="F19"/>
  <c r="E19"/>
  <c r="D19"/>
  <c r="P18"/>
  <c r="O18"/>
  <c r="N18"/>
  <c r="M18"/>
  <c r="I18"/>
  <c r="H18"/>
  <c r="G18"/>
  <c r="F18"/>
  <c r="E18"/>
  <c r="D18"/>
  <c r="Q17"/>
  <c r="P17"/>
  <c r="O17"/>
  <c r="N17"/>
  <c r="M17"/>
  <c r="I17"/>
  <c r="H17"/>
  <c r="G17"/>
  <c r="F17"/>
  <c r="E17"/>
  <c r="D17"/>
  <c r="Q16"/>
  <c r="P16"/>
  <c r="O16"/>
  <c r="N16"/>
  <c r="M16"/>
  <c r="I16"/>
  <c r="H16"/>
  <c r="G16"/>
  <c r="F16"/>
  <c r="E16"/>
  <c r="D16"/>
  <c r="Q15"/>
  <c r="P15"/>
  <c r="O15"/>
  <c r="N15"/>
  <c r="M15"/>
  <c r="I15"/>
  <c r="H15"/>
  <c r="G15"/>
  <c r="F15"/>
  <c r="E15"/>
  <c r="D15"/>
  <c r="Q14"/>
  <c r="P14"/>
  <c r="O14"/>
  <c r="N14"/>
  <c r="M14"/>
  <c r="I14"/>
  <c r="H14"/>
  <c r="G14"/>
  <c r="F14"/>
  <c r="E14"/>
  <c r="D14"/>
  <c r="Q13"/>
  <c r="P13"/>
  <c r="O13"/>
  <c r="N13"/>
  <c r="M13"/>
  <c r="I13"/>
  <c r="H13"/>
  <c r="G13"/>
  <c r="F13"/>
  <c r="E13"/>
  <c r="D13"/>
  <c r="Q12"/>
  <c r="P12"/>
  <c r="O12"/>
  <c r="N12"/>
  <c r="M12"/>
  <c r="I12"/>
  <c r="H12"/>
  <c r="G12"/>
  <c r="F12"/>
  <c r="E12"/>
  <c r="D12"/>
  <c r="Q11"/>
  <c r="P11"/>
  <c r="O11"/>
  <c r="N11"/>
  <c r="M11"/>
  <c r="I11"/>
  <c r="H11"/>
  <c r="G11"/>
  <c r="F11"/>
  <c r="E11"/>
  <c r="D11"/>
  <c r="Q10"/>
  <c r="P10"/>
  <c r="O10"/>
  <c r="N10"/>
  <c r="M10"/>
  <c r="I10"/>
  <c r="H10"/>
  <c r="G10"/>
  <c r="F10"/>
  <c r="E10"/>
  <c r="D10"/>
  <c r="Q9"/>
  <c r="P9"/>
  <c r="O9"/>
  <c r="N9"/>
  <c r="M9"/>
  <c r="I9"/>
  <c r="H9"/>
  <c r="G9"/>
  <c r="F9"/>
  <c r="E9"/>
  <c r="D9"/>
  <c r="Q8"/>
  <c r="P8"/>
  <c r="O8"/>
  <c r="N8"/>
  <c r="M8"/>
  <c r="I8"/>
  <c r="H8"/>
  <c r="G8"/>
  <c r="F8"/>
  <c r="E8"/>
  <c r="D8"/>
  <c r="Q7"/>
  <c r="P7"/>
  <c r="O7"/>
  <c r="N7"/>
  <c r="M7"/>
  <c r="I7"/>
  <c r="H7"/>
  <c r="G7"/>
  <c r="F7"/>
  <c r="E7"/>
  <c r="D7"/>
  <c r="F147" i="2" l="1"/>
  <c r="I6" i="1" s="1"/>
  <c r="I22" s="1"/>
  <c r="F146" i="2"/>
  <c r="H6" i="1" s="1"/>
  <c r="H22" s="1"/>
  <c r="G33"/>
  <c r="G49" s="1"/>
  <c r="F144" i="2"/>
  <c r="F6" i="1" s="1"/>
  <c r="F22" s="1"/>
  <c r="F116" i="2"/>
  <c r="E33" i="1" s="1"/>
  <c r="E49" s="1"/>
  <c r="N6"/>
  <c r="F117" i="2"/>
  <c r="F84" i="1"/>
  <c r="F100" s="1"/>
  <c r="F133" i="2"/>
  <c r="D84" i="1" s="1"/>
  <c r="O6" s="1"/>
  <c r="D75"/>
  <c r="P6"/>
  <c r="F148" i="2" l="1"/>
  <c r="E6" i="1" s="1"/>
  <c r="E22" s="1"/>
  <c r="F149" i="2"/>
  <c r="D6" i="1" s="1"/>
  <c r="D22" s="1"/>
  <c r="D33"/>
  <c r="D100"/>
  <c r="Q23" l="1"/>
  <c r="M6"/>
  <c r="D49"/>
  <c r="Q6"/>
</calcChain>
</file>

<file path=xl/sharedStrings.xml><?xml version="1.0" encoding="utf-8"?>
<sst xmlns="http://schemas.openxmlformats.org/spreadsheetml/2006/main" count="2784" uniqueCount="1033">
  <si>
    <t>`</t>
  </si>
  <si>
    <r>
      <rPr>
        <sz val="11"/>
        <color theme="1"/>
        <rFont val="Calibri"/>
      </rPr>
      <t xml:space="preserve">Caaza_Full_Validation_Test_Plan_v1
 </t>
    </r>
    <r>
      <rPr>
        <b/>
        <sz val="11"/>
        <color theme="1"/>
        <rFont val="Calibri"/>
      </rPr>
      <t xml:space="preserve">(All_Platform) </t>
    </r>
  </si>
  <si>
    <t>Y____W__</t>
  </si>
  <si>
    <t>S.NO</t>
  </si>
  <si>
    <t>Module</t>
  </si>
  <si>
    <t>No of Test</t>
  </si>
  <si>
    <t>Executed</t>
  </si>
  <si>
    <t>PASS</t>
  </si>
  <si>
    <t>FAIL</t>
  </si>
  <si>
    <t>NA</t>
  </si>
  <si>
    <t>NT</t>
  </si>
  <si>
    <t>S No</t>
  </si>
  <si>
    <t xml:space="preserve">Andriod </t>
  </si>
  <si>
    <t>IOS-Mobile</t>
  </si>
  <si>
    <t>IOS - Tab</t>
  </si>
  <si>
    <t>Android - Tab</t>
  </si>
  <si>
    <t>Overall %</t>
  </si>
  <si>
    <t>Authentication</t>
  </si>
  <si>
    <t>Hierarchy_Creation</t>
  </si>
  <si>
    <t>User_Control</t>
  </si>
  <si>
    <t>Home_Page</t>
  </si>
  <si>
    <t>FlooHierarchy_edit_delete</t>
  </si>
  <si>
    <t>Add_Switchboard</t>
  </si>
  <si>
    <t>Connectivity</t>
  </si>
  <si>
    <t>Analytics</t>
  </si>
  <si>
    <t>Setting &amp; Profile</t>
  </si>
  <si>
    <t>Notification</t>
  </si>
  <si>
    <t>Pairing</t>
  </si>
  <si>
    <t>Scheduler</t>
  </si>
  <si>
    <t>Smart_Scene_Creation</t>
  </si>
  <si>
    <t>Device_Settings</t>
  </si>
  <si>
    <t>Multi_device</t>
  </si>
  <si>
    <t>Switch_ON/OFF</t>
  </si>
  <si>
    <t>TOTAL</t>
  </si>
  <si>
    <t>Overall Completion %</t>
  </si>
  <si>
    <t>Issue Tracking Page</t>
  </si>
  <si>
    <r>
      <rPr>
        <sz val="11"/>
        <color theme="1"/>
        <rFont val="Calibri"/>
      </rPr>
      <t xml:space="preserve">Caaza_Full_Validation_Test_Plan_v1
 </t>
    </r>
    <r>
      <rPr>
        <b/>
        <sz val="11"/>
        <color theme="1"/>
        <rFont val="Calibri"/>
      </rPr>
      <t xml:space="preserve">(ANDRIOD) </t>
    </r>
  </si>
  <si>
    <t>PAIRING MODE</t>
  </si>
  <si>
    <r>
      <rPr>
        <sz val="11"/>
        <color theme="1"/>
        <rFont val="Calibri"/>
      </rPr>
      <t xml:space="preserve">Caaza_Full_Validation_Test_Plan_v1
 </t>
    </r>
    <r>
      <rPr>
        <b/>
        <sz val="11"/>
        <color theme="1"/>
        <rFont val="Calibri"/>
      </rPr>
      <t xml:space="preserve">(IOS_Mobile) </t>
    </r>
  </si>
  <si>
    <t>Total</t>
  </si>
  <si>
    <r>
      <rPr>
        <sz val="11"/>
        <color theme="1"/>
        <rFont val="Calibri"/>
      </rPr>
      <t xml:space="preserve">Caaza_Full_Validation_Test_Plan_v1
 </t>
    </r>
    <r>
      <rPr>
        <b/>
        <sz val="11"/>
        <color theme="1"/>
        <rFont val="Calibri"/>
      </rPr>
      <t xml:space="preserve">(IOS-Tab) </t>
    </r>
  </si>
  <si>
    <r>
      <rPr>
        <sz val="11"/>
        <color theme="1"/>
        <rFont val="Calibri"/>
      </rPr>
      <t xml:space="preserve">Caaza_Full_Validation_Test_Plan_v1
 </t>
    </r>
    <r>
      <rPr>
        <b/>
        <sz val="11"/>
        <color theme="1"/>
        <rFont val="Calibri"/>
      </rPr>
      <t xml:space="preserve">(Android-Tab) </t>
    </r>
  </si>
  <si>
    <t>m</t>
  </si>
  <si>
    <t>Page Consolidation</t>
  </si>
  <si>
    <t>TC NO</t>
  </si>
  <si>
    <t>MODE/MODULE</t>
  </si>
  <si>
    <t>DESCRIPTION</t>
  </si>
  <si>
    <t>STEPS TO FOLLOW</t>
  </si>
  <si>
    <t>Automation Status</t>
  </si>
  <si>
    <t>EXPECTED BEHAVIOUR</t>
  </si>
  <si>
    <t>PRIORITY</t>
  </si>
  <si>
    <t>Android</t>
  </si>
  <si>
    <t>COMMENTS</t>
  </si>
  <si>
    <t xml:space="preserve">  Used</t>
  </si>
  <si>
    <t xml:space="preserve">Android version  </t>
  </si>
  <si>
    <t>Device
Serial No</t>
  </si>
  <si>
    <t>VALIDATED_BY</t>
  </si>
  <si>
    <t>AUT_TC_NO_01</t>
  </si>
  <si>
    <t>Login Functional Check</t>
  </si>
  <si>
    <t>Check User able to login with Valid creditials</t>
  </si>
  <si>
    <t>1. Open innomate app.
2. Enter InValid username and Password and check user not getting validation error.
3. Enter valid username and password and check user able to login to homepage</t>
  </si>
  <si>
    <t>Completed</t>
  </si>
  <si>
    <t>P0</t>
  </si>
  <si>
    <t>AUT_TC_NO_02</t>
  </si>
  <si>
    <t>Sign Up Functional Check</t>
  </si>
  <si>
    <t>Check User able to sign up</t>
  </si>
  <si>
    <t>1. Open innomate app.
2. Click sign Up Link and check user navigate to Sign Up page
3. Enter valid details and click sign up
4. Enter security answers and check user naviagte to Hierarchy create page</t>
  </si>
  <si>
    <t>AUT_TC_NO_03</t>
  </si>
  <si>
    <t>Sign Up and Create Hierarchy</t>
  </si>
  <si>
    <t xml:space="preserve">1. Open innomate app.
2. Click sign Up Link and check user navigate to Sign Up page
3. Enter valid details and click sign up
4. Enter security answers and check user naviagte to Hierarchy create page
5. Create 4 Level Hierarchy title and check user naviagte to home page
6. Create a 4 Level hierarchy level
7. Check user able to access created Hierarchy
</t>
  </si>
  <si>
    <t>AUT_TC_NO_04</t>
  </si>
  <si>
    <t xml:space="preserve">Pairing </t>
  </si>
  <si>
    <t xml:space="preserve">Check user able to Pair with single Device </t>
  </si>
  <si>
    <t>1. Login into Innomate app.
2. Pair single node device.
3. Check Connectivy established.
4. Turn on/off.
5. Remove the device</t>
  </si>
  <si>
    <t>AUT_TC_NO_05</t>
  </si>
  <si>
    <t>Schedule</t>
  </si>
  <si>
    <t>Check user switch Schedule works</t>
  </si>
  <si>
    <t xml:space="preserve">1. Login into Innomate app.
2. Pair single node device.
3. Create 2 schedule with 2 mins each.
4. Check Schedule hits 
5. Check analytics updated properly.
</t>
  </si>
  <si>
    <t>AUT_TC_NO_06</t>
  </si>
  <si>
    <t>Scene Creation</t>
  </si>
  <si>
    <t>Check scene creation works</t>
  </si>
  <si>
    <t>1. Login into Innomate app.
2. Pair single node device.
3. Check Connectivy established.
4. Turn on/off.
5. Naviagte to home page and create scene.
6. Check scene triggers and switch turn on as per scene.</t>
  </si>
  <si>
    <t>AUT_TC_NO_07</t>
  </si>
  <si>
    <t>Device Settings</t>
  </si>
  <si>
    <t>check device setings High voltage values configuration</t>
  </si>
  <si>
    <t>1. Login into Innomate app.
2. Pair single node device.
3. Check Connectivy established.
4. Navigate to Device settings page .
5.Navigate to High voltage cutoff 
6.validate the high coltage threshold (v)</t>
  </si>
  <si>
    <t>AUT_TC_NO_08</t>
  </si>
  <si>
    <t>check device setings low voltage values configuration</t>
  </si>
  <si>
    <t>1. Login into Innomate app.
2. Pair single node device.
3. Check Connectivy established.
4. Navigate to Device settings page .
5.Navigate to Low voltage cutoff
6.Validate the Low voltage threshold (v)</t>
  </si>
  <si>
    <t>AUT_TC_NO_09</t>
  </si>
  <si>
    <t>Profile</t>
  </si>
  <si>
    <t>Check user able to update Profile details</t>
  </si>
  <si>
    <t xml:space="preserve">
1. Gointo profile section.
2. Check user able edit name,DOB and chane password.
3. Logout and login with new password and check user details updated properly.
</t>
  </si>
  <si>
    <t>AUT_TC_NO_10</t>
  </si>
  <si>
    <t>User sharing</t>
  </si>
  <si>
    <t>Check user able to provide and revoke access to other user</t>
  </si>
  <si>
    <t xml:space="preserve">
1. Login into innomate app.
2. Click on users section and click share option.
3. Provide full access to user.
4. Check user got full access.
5. Revoke access to that user.
6. Check user revoke access.
</t>
  </si>
  <si>
    <t>AUT_TC_NO_11</t>
  </si>
  <si>
    <t>Check Full access user able to control devices</t>
  </si>
  <si>
    <t xml:space="preserve">
1. Check Shared user able to access switch board.
2. Check user able to turn/off switch.
3. Create scehdule in shared user and check created schdule reflects in other user section main user.
4. Schdule triggers properly.
</t>
  </si>
  <si>
    <t>AUT_TC_NO_12</t>
  </si>
  <si>
    <t>Check Partial access user able to control devices and not able to create schedule</t>
  </si>
  <si>
    <t xml:space="preserve">
1. Check Shared user able to access switch board.
2. Check user able to turn/off switch.
3. Check user not able to Create scehdule in shared user.
</t>
  </si>
  <si>
    <t>AUT_TC_NO_13</t>
  </si>
  <si>
    <t>Check view only access user only have access view switch</t>
  </si>
  <si>
    <t xml:space="preserve">
1. Check Shared user able to access switch board.
2. Check user not able to turn/off switch.
3. Check user not able to Create scehdule in shared user.
</t>
  </si>
  <si>
    <t>AUT_TC_NO_14</t>
  </si>
  <si>
    <t>Edit switchBoardName/Switch Name</t>
  </si>
  <si>
    <t>Check user able to change Switch Board and switch name</t>
  </si>
  <si>
    <t xml:space="preserve">
1. Navigate to switch board page and user able to edit switch board name
2. Check changed name is reflecting in UI.
3. Change the switch name and check changed name is reflecting in UI.</t>
  </si>
  <si>
    <t>AUT_TC_NO_15</t>
  </si>
  <si>
    <t>Check Timer is working for Switch</t>
  </si>
  <si>
    <t xml:space="preserve">
Check timer is working for switch</t>
  </si>
  <si>
    <t xml:space="preserve">
1. Navigate to Switch page and set a timer for 2 mins.
2. Turn the switch and check switch automatically turns off after 2 mins.
</t>
  </si>
  <si>
    <t>AUT_TC_NO_16</t>
  </si>
  <si>
    <t>Check switch lock Works</t>
  </si>
  <si>
    <t xml:space="preserve">
Check switch lock works </t>
  </si>
  <si>
    <t xml:space="preserve">
1. Navigate to Switch page and enable switch lock
2. Check Switch lock symbol is enabled in Ui and user able to turn on off switch.
</t>
  </si>
  <si>
    <t>AUT_TC_NO_17</t>
  </si>
  <si>
    <t>Check notifications</t>
  </si>
  <si>
    <t>Check User/Device notification received.</t>
  </si>
  <si>
    <t xml:space="preserve">
1. Login to innomate app.
2. Share user to new user.
3, Check user notifications received.
4. Do a factoty reset on current device and device notifications received.
</t>
  </si>
  <si>
    <t>https://192.168.10.128:81/issues/15913</t>
  </si>
  <si>
    <t>https://192.168.10.128:81/issues/15915</t>
  </si>
  <si>
    <t>#14714</t>
  </si>
  <si>
    <t>#14645</t>
  </si>
  <si>
    <t xml:space="preserve">For tab only ,both mode is visible  </t>
  </si>
  <si>
    <t xml:space="preserve"> #15925</t>
  </si>
  <si>
    <t xml:space="preserve">while navigating, In signUp Page, previous data will not be shown </t>
  </si>
  <si>
    <t>#15930</t>
  </si>
  <si>
    <t>Andriod</t>
  </si>
  <si>
    <t>IOS_Safari</t>
  </si>
  <si>
    <t>TAB_Safari</t>
  </si>
  <si>
    <t>Android_Tab</t>
  </si>
  <si>
    <t>Summary!A1</t>
  </si>
  <si>
    <t>IOS</t>
  </si>
  <si>
    <t>Tab</t>
  </si>
  <si>
    <t>Forgot_Password
TC_NO_01</t>
  </si>
  <si>
    <t>Forgot_password Page</t>
  </si>
  <si>
    <t>Forgot_password
UI</t>
  </si>
  <si>
    <t>1.Verify alignment and spacing.
2.Check placeholder inside username input.
3.Look for icon in username field.
4.View the Submit button.
5Check “Back to Sign In” link.
6.View “Forgot Password” title.</t>
  </si>
  <si>
    <t xml:space="preserve">1.All elements (title, input, button, links) should be properly aligned and evenly spaced.
2.Placeholder should be "Username" with a red asterisk for mandatory.
3.Username icon should be clearly visible inside the input.
4.Button should be clearly labeled, have proper padding and background color.
5.Should be properly aligned below the Submit button and colored differently (indicating a link).
6.Should be bold and clearly distinguishable from other text.
</t>
  </si>
  <si>
    <t>Forgot_Password
TC_NO_02</t>
  </si>
  <si>
    <t>Forgot_password
Functional
Valid</t>
  </si>
  <si>
    <t>1.Enter a valid username and click Submit.
2.Leave the username field empty and click Submit.
3.Click on “Back to Sign In” link.
4.Enter a valid username and click Submit.</t>
  </si>
  <si>
    <t>1.Password reset process should initiate or show confirmation.
2.Error message should appear indicating username is required.
3.Should redirect the user to the Sign-In screen.
4.User navigate to Security Question Page without any Issue.</t>
  </si>
  <si>
    <t>P1</t>
  </si>
  <si>
    <t>Forgot_Password
TC_NO_03</t>
  </si>
  <si>
    <t>Forgot_password
Functional
Invalid</t>
  </si>
  <si>
    <t>1.Enter an invalid or non-registered username and click Submit.
2.Try entering special characters or invalid inputs.
3.Click the Submit button multiple times quickly.</t>
  </si>
  <si>
    <t>1.Proper error/validation message should appear (e.g., “Username not found”).
2.Should restrict or show validation if not allowed.
3.Button should either disable after first click or prevent multiple requests.</t>
  </si>
  <si>
    <t>P2</t>
  </si>
  <si>
    <t>Forgot_Password
TC_NO_04</t>
  </si>
  <si>
    <t>Security_Question Page</t>
  </si>
  <si>
    <t>Security_Question
UI</t>
  </si>
  <si>
    <t>1.Check text at the top of the screen.
2.Inspect question labels.
3.Check the placeholder inside both input fields.
4.Check the appearance of the Verify button.</t>
  </si>
  <si>
    <t xml:space="preserve">1.Title should read "Security Question" and be clearly visible.
2.Each question should be numbered and clearly stated.
3.Should show "Your answer" in a readable gray font.
4.Button should be centered, have consistent padding, and readable label.
</t>
  </si>
  <si>
    <t>P3</t>
  </si>
  <si>
    <t>Forgot_Password
TC_NO_05</t>
  </si>
  <si>
    <t>Security_Question
Functional
Valid</t>
  </si>
  <si>
    <t>1.Enter valid answers for both questions and click Verify.
2.Enter an answer for only one question and click Verify
3.Leave both fields blank and click Verify.
4.Click on “Back to Sign In”.
5.Use Tab to move between fields and button.
6.Paste an answer in both fields.</t>
  </si>
  <si>
    <t>1.Should proceed to the next step (e.g., password reset screen).
2.Should show error message prompting to fill both answers.
3.Should show validation error (e.g., “Both fields are required”).
4.Should redirect user to the login/sign-in page.
5.Keyboard focus should move correctly and allow full interaction.
6.Pasting should be allowed and accepted as input.</t>
  </si>
  <si>
    <t>P4</t>
  </si>
  <si>
    <t>Forgot_Password
TC_NO_06</t>
  </si>
  <si>
    <t>Security_Question
Functional
InValid</t>
  </si>
  <si>
    <t>1.Enter symbols like !@#$%^&amp;* in both fields.
2.Input 1-2 characters (e.g., "A", "XY").
3.Input numbers (e.g., 123456) in both fields.
4.Enter incorrect answers multiple times.
5.Input spaces (e.g., " ") and submit.</t>
  </si>
  <si>
    <t>1.Should either show validation or treat as incorrect answer.
2.Should show validation if there's a minimum length requirement.
3.Should display error if the answers do not match expected format.
4.Should show a warning after a set number of failed attempts (if implemented).
5.Should display error as input is considered empty.</t>
  </si>
  <si>
    <t>P5</t>
  </si>
  <si>
    <t>Forgot_Password
TC_NO_07</t>
  </si>
  <si>
    <t>Reset_password Page</t>
  </si>
  <si>
    <t>Reset_password
UI</t>
  </si>
  <si>
    <t>1.Check title at the top.
2.Inspect both input fields.
3.Check the eye icon.
4.Look at the Continue button.
5.Check “Back to Sign In” link.
6.Visually inspect the fields.
7.Check all text for font consistency.</t>
  </si>
  <si>
    <t>1.Title should display "Reset Password" clearly and prominently.
2.Labels should be "New Password" and "Confirm Password", with lock icons and visibility toggle.
3.Clicking the eye icon should toggle password visibility.
4.Button should be centered, visually distinct, and properly styled.
5.Should be readable and clearly placed below the button.
6.All elements should be aligned, evenly spaced, and responsive.
7.Fonts, size, and colors should be uniform and accessible.</t>
  </si>
  <si>
    <t>P6</t>
  </si>
  <si>
    <t>Forgot_Password
TC_NO_08</t>
  </si>
  <si>
    <t>Reset_password
Functional
Valid</t>
  </si>
  <si>
    <t xml:space="preserve">1.Enter matching, valid new password and confirmation.
2.Click the eye icon in password fields.
3.Click on “Back to Sign In”.
4.Enter different values in both fields.
5.Fill both fields and press Enter.
6.Enter long password (e.g., &gt; 100 chars).
7.Leave one or both fields empty and click Continue.
8. Enter New Password and Confirm password same and click on Continue button, user should get success message.
9. Try login with new password and check User is naviagted to home page.
</t>
  </si>
  <si>
    <t xml:space="preserve">1.Should proceed successfully with confirmation or redirection.
2.Should show/hide password characters as expected.
3.Should navigate user to the login screen.
4.Should display error message (e.g., "Passwords do not match")
4.Form should submit successfully as if clicking the Continue button.
6.Field should restrict to allowed max length or give error.
7.Should display required field error(s).
8. Enter New Password and Confirm password same and click on Continue button, user should get success message.
9. Try login with new password and User should naviagte to home page.
</t>
  </si>
  <si>
    <t>P7</t>
  </si>
  <si>
    <t>Forgot_Password
TC_NO_09</t>
  </si>
  <si>
    <t>Reset_password
Functional
InValid</t>
  </si>
  <si>
    <t xml:space="preserve">1.Enter different values in "New Password" and "Confirm Password".
2.Enter weak password (e.g., "1234" or "abcd").
3.Enter only spaces in password fields.
4.Enter only symbols (e.g., @#$%).
5.Leave both fields empty and click Continue.
6.Enter a password that matches the old one (if known).
7.Enter fewer than required characters (e.g., &lt; 6)
</t>
  </si>
  <si>
    <t>1.Show validation: "Passwords do not match".
2.Show error or warning: "Password too weak".
3.Show validation error: "Password cannot be blank or whitespace only".
4.Validate against password policy and show appropriate error.
5.Display "Password is required" for both fields.
6.Should show: "New password must be different from old password" (if implemented).
7.Should display error: "Password must be at least X characters".</t>
  </si>
  <si>
    <t>P8</t>
  </si>
  <si>
    <t>TC_01</t>
  </si>
  <si>
    <t>Add Switch board</t>
  </si>
  <si>
    <t>Ensure device names with invalid special characters are rejected.</t>
  </si>
  <si>
    <r>
      <rPr>
        <b/>
        <sz val="11"/>
        <color theme="1"/>
        <rFont val="Calibri"/>
      </rPr>
      <t>Precondition:</t>
    </r>
    <r>
      <rPr>
        <sz val="11"/>
        <color theme="1"/>
        <rFont val="Calibri"/>
      </rPr>
      <t xml:space="preserve">
 - User is on the Add Device page.
 - Pairing flow is already completed, and user is ready to enter the device name.
1. Navigate to the 'Enter Name of your smart panel' field.
2. Enter a device name containing special characters (e.g., @#%Device).
3. Tap on Save.</t>
    </r>
  </si>
  <si>
    <t>1. System should validate the input.
2. An error message is displayed (e.g., “Special characters are not allowed in panle name”).
3. Device should not be added until corrected.</t>
  </si>
  <si>
    <t>TC_02</t>
  </si>
  <si>
    <t>Verify that entering a panel name longer than 11 characters shows an error message and prevents pairing.</t>
  </si>
  <si>
    <r>
      <rPr>
        <b/>
        <sz val="11"/>
        <color theme="1"/>
        <rFont val="Calibri"/>
      </rPr>
      <t>Preconditions:</t>
    </r>
    <r>
      <rPr>
        <sz val="11"/>
        <color theme="1"/>
        <rFont val="Calibri"/>
      </rPr>
      <t xml:space="preserve">
 - Android app is installed and launched.
 - Device pairing page is accessible.
1. Navigate to the 'Add Switch' page.
2. Enter a Panel name with more than 11 characters.
3. Attempt to complete Save.</t>
    </r>
  </si>
  <si>
    <t>1. Error message is displayed: “Device name cannot exceed 10 characters.”
2. Pairing is not completed until a valid name is entered.</t>
  </si>
  <si>
    <t>TC_03</t>
  </si>
  <si>
    <t>Ensure device names shorter than 3 characters are rejected.</t>
  </si>
  <si>
    <r>
      <rPr>
        <b/>
        <sz val="11"/>
        <color theme="1"/>
        <rFont val="Calibri"/>
      </rPr>
      <t>Preconditions:</t>
    </r>
    <r>
      <rPr>
        <sz val="11"/>
        <color theme="1"/>
        <rFont val="Calibri"/>
      </rPr>
      <t xml:space="preserve">
1. App is installed and launched.
2. Device pairing page is accessible.
1. Navigate to the device pairing page.
2. Enter a device name with less than 3 characters (e.g., “A”, “AB”).
3. Attempt to complete pairing.</t>
    </r>
  </si>
  <si>
    <t>1. Error message displayed: “Device name must be at least 3 characters.”
2. Pairing is not completed until a valid name is entered.</t>
  </si>
  <si>
    <t>TC_04</t>
  </si>
  <si>
    <t>Verify numeric-only device names are accepted during pairing.</t>
  </si>
  <si>
    <r>
      <rPr>
        <b/>
        <sz val="11"/>
        <color theme="1"/>
        <rFont val="Calibri"/>
      </rPr>
      <t>Preconditions:</t>
    </r>
    <r>
      <rPr>
        <sz val="11"/>
        <color theme="1"/>
        <rFont val="Calibri"/>
      </rPr>
      <t xml:space="preserve">
 - Device pairing is in progress.
 - User is on the Device Name entry screen.
1. Enter a numeric-only device name (e.g., 12345).
2. Tap Save to proceed with pairing.</t>
    </r>
  </si>
  <si>
    <t>1. The numeric name is accepted as valid.
2. Pairing proceeds successfully.
3. Device appears in the device list/dashboard with the numeric name.</t>
  </si>
  <si>
    <t>TC_05</t>
  </si>
  <si>
    <t>Verify app retains input data when sent to background during entry.</t>
  </si>
  <si>
    <r>
      <rPr>
        <b/>
        <sz val="11"/>
        <color theme="1"/>
        <rFont val="Calibri"/>
      </rPr>
      <t>Preconditions:</t>
    </r>
    <r>
      <rPr>
        <sz val="11"/>
        <color theme="1"/>
        <rFont val="Calibri"/>
      </rPr>
      <t xml:space="preserve">
 - Device pairing is in progress.
 - User is on the Device Name or Switch Name &amp; Load Type entry screen.
1. Enter partial or complete device/switch details.
2. Minimize the app (send it to background) without saving.
3. Reopen the app.
4. Navigate back to the entry screen.</t>
    </r>
  </si>
  <si>
    <t>1. All previously entered data remains intact.
2. User can continue pairing without re-entering information.
3. Pairing completes successfully.</t>
  </si>
  <si>
    <t>TC_06</t>
  </si>
  <si>
    <t>Default device name assignment on app close</t>
  </si>
  <si>
    <r>
      <rPr>
        <b/>
        <sz val="11"/>
        <color theme="1"/>
        <rFont val="Calibri"/>
      </rPr>
      <t xml:space="preserve">Preconditions:
</t>
    </r>
    <r>
      <rPr>
        <sz val="11"/>
        <color theme="1"/>
        <rFont val="Calibri"/>
      </rPr>
      <t xml:space="preserve"> - Device pairing is successfully completed.
 - User is on the Device Name entry screen.
1. When prompted to enter the Panel Name, leave it blank.
2. Kill the app (force close).
3. Reopen the app and check the device list.</t>
    </r>
  </si>
  <si>
    <t>1. The system should automatically assign a default device name (e.g., Device_001 or Switch_board_1).
2. The device should appear in the Home Page/device list with this default name, and all switches should also have unique default names without duplicates (e.g., Switch_1, Switch_2, …).
3. User should be able to later rename both the device and switches from Edit Device Settings.</t>
  </si>
  <si>
    <t>TC_07</t>
  </si>
  <si>
    <t>Default device name assignment on second panel addition</t>
  </si>
  <si>
    <r>
      <rPr>
        <b/>
        <sz val="11"/>
        <color theme="1"/>
        <rFont val="Calibri"/>
      </rPr>
      <t>Preconditions:</t>
    </r>
    <r>
      <rPr>
        <sz val="11"/>
        <color theme="1"/>
        <rFont val="Calibri"/>
      </rPr>
      <t xml:space="preserve">
 - First panel is already paired and available in the device list.
 - User is on the Device Name entry screen while adding a second panel.
1. When prompted to enter the Panel Name for the second panel, leave it blank.
2. Kill the app (force close).
3. Reopen the app and check the device list.</t>
    </r>
  </si>
  <si>
    <t>1. The system should automatically assign a default name to the second panel (e.g., Device_002 or Switch_board_2).
2. Both the first and second panels should appear in the Home Page/device list with unique default names.
3. All switches of the second panel should also have unique default names without duplicates (e.g., Switch_1, Switch_2 …).
4. User should be able to later rename the second panel and its switches from Edit Device Settings.</t>
  </si>
  <si>
    <t>TC_08</t>
  </si>
  <si>
    <t>Ensures back navigation on the Switch Board Name page does not proceed with pairing.</t>
  </si>
  <si>
    <r>
      <rPr>
        <b/>
        <sz val="11"/>
        <color theme="1"/>
        <rFont val="Calibri"/>
      </rPr>
      <t>Preconditions:</t>
    </r>
    <r>
      <rPr>
        <sz val="11"/>
        <color theme="1"/>
        <rFont val="Calibri"/>
      </rPr>
      <t xml:space="preserve">
 - First panel is already paired and available in the device list.
 - User is on the Device Name entry screen.
1. Enter the Switch Board Name screen during pairing.
2. Press the mobile back button.</t>
    </r>
  </si>
  <si>
    <t>1. No further action should proceed.
2. User should remain on the Switch Board Name page until a valid name is entered or confirmed.</t>
  </si>
  <si>
    <t>TC_09</t>
  </si>
  <si>
    <t>Verify switch count for V1 after saving panel name</t>
  </si>
  <si>
    <r>
      <rPr>
        <b/>
        <sz val="11"/>
        <color theme="1"/>
        <rFont val="Calibri"/>
      </rPr>
      <t>Preconditions:</t>
    </r>
    <r>
      <rPr>
        <sz val="11"/>
        <color theme="1"/>
        <rFont val="Calibri"/>
      </rPr>
      <t xml:space="preserve">
 - V1 panel pairing is successfully completed.
 - User is on the Panel Name entry screen.
1. Enter a valid panel name (e.g., LivingRoom_V1).
2. Save the panel name.
3. Navigate to the detailed view of the V1 panel.</t>
    </r>
  </si>
  <si>
    <t>1. The V1 panel should display exactly 6 switches after the panel name is saved.</t>
  </si>
  <si>
    <t>TC_10</t>
  </si>
  <si>
    <t>Verify switch count for V2 Single after saving panel name</t>
  </si>
  <si>
    <r>
      <rPr>
        <b/>
        <sz val="11"/>
        <color theme="1"/>
        <rFont val="Calibri"/>
      </rPr>
      <t>Preconditions:</t>
    </r>
    <r>
      <rPr>
        <sz val="11"/>
        <color theme="1"/>
        <rFont val="Calibri"/>
      </rPr>
      <t xml:space="preserve">
 - V2 Single panel pairing is successfully completed.
 - User is on the Panel Name entry screen.
1. Enter a valid panel name (e.g., Bedroom_V2).
2. Save the panel name.
3. Navigate to the detailed view of the V2 Single panel.</t>
    </r>
  </si>
  <si>
    <t>1. The V2 Single panel should display exactly 1 switch after the panel name is saved.</t>
  </si>
  <si>
    <t>TC_11</t>
  </si>
  <si>
    <t>Verify switch count for V2 Dual after saving panel name</t>
  </si>
  <si>
    <r>
      <rPr>
        <b/>
        <sz val="11"/>
        <color theme="1"/>
        <rFont val="Calibri"/>
      </rPr>
      <t>Preconditions:</t>
    </r>
    <r>
      <rPr>
        <sz val="11"/>
        <color theme="1"/>
        <rFont val="Calibri"/>
      </rPr>
      <t xml:space="preserve">
 - V2 Dual panel pairing is successfully completed.
 - User is on the Panel Name entry screen.
1. Enter a valid panel name (e.g., LivingRoom_V2).
2. Save the panel name.
3. Navigate to the detailed view of the V2 Dual panel.</t>
    </r>
  </si>
  <si>
    <t>1. The V2 Dual panel should display exactly 2 switches after the panel name is saved.</t>
  </si>
  <si>
    <t>TC_12</t>
  </si>
  <si>
    <t>Verify switch name does not accept special characters</t>
  </si>
  <si>
    <r>
      <rPr>
        <b/>
        <sz val="11"/>
        <color theme="1"/>
        <rFont val="Calibri"/>
      </rPr>
      <t>Preconditions:</t>
    </r>
    <r>
      <rPr>
        <sz val="11"/>
        <color theme="1"/>
        <rFont val="Calibri"/>
      </rPr>
      <t xml:space="preserve">
 - Device is paired and panel is added successfully.
 - User is on the Switch Name entry/edit screen.
1. Enter a switch name with special characters (e.g., $Light1).
2. Attempt to save the switch name.</t>
    </r>
  </si>
  <si>
    <t>1. The system should reject the name.
2. An error message should be displayed (e.g., “Special characters are not allowed in switch name.”).
3. Switch name should remain editable for correction.</t>
  </si>
  <si>
    <t>TC_13</t>
  </si>
  <si>
    <t>Verify duplicate switch names are not allowed</t>
  </si>
  <si>
    <r>
      <rPr>
        <b/>
        <sz val="11"/>
        <color theme="1"/>
        <rFont val="Calibri"/>
      </rPr>
      <t>Preconditions:</t>
    </r>
    <r>
      <rPr>
        <sz val="11"/>
        <color theme="1"/>
        <rFont val="Calibri"/>
      </rPr>
      <t xml:space="preserve">
 - Device is paired and panel name saved.
 - User is on the Switch Name entry screen.
1. Enter a name for Switch 1 (e.g., Light1).
2. Enter the same name for Switch 2 (e.g., Light1).
3. Attempt to save.</t>
    </r>
  </si>
  <si>
    <t>1. System should reject the duplicate entry.
2. Error message is displayed (e.g., “Switch name must be unique.”).
3. User remains on the naming screen until corrected.</t>
  </si>
  <si>
    <t>TC_14</t>
  </si>
  <si>
    <t>Verify default switch name is applied when app is Kill mid-entry</t>
  </si>
  <si>
    <r>
      <rPr>
        <b/>
        <sz val="11"/>
        <color theme="1"/>
        <rFont val="Calibri"/>
      </rPr>
      <t>Preconditions:</t>
    </r>
    <r>
      <rPr>
        <sz val="11"/>
        <color theme="1"/>
        <rFont val="Calibri"/>
      </rPr>
      <t xml:space="preserve">
 - Device is paired Panel name added.
 - User is on the Switch Name entry screen.
1. On the Switch Name entry screen, leave some or all switch names blank.
2. Force Kill the app without saving.
3. Reopen the app and navigate to the device/switch list.</t>
    </r>
  </si>
  <si>
    <t>1. The saved Panel name should remain unchanged as entered previously.
2. The system should automatically assign default switch names (e.g., Switch_1, Switch_2, …) for any blank entries.
3. The device should appear with all switches listed under these default names.
4. User should be able to later rename switches from Edit Switch Settings.</t>
  </si>
  <si>
    <t>TC_15</t>
  </si>
  <si>
    <t>Ensures back navigation on the Switch Name page does not proceed.</t>
  </si>
  <si>
    <r>
      <rPr>
        <b/>
        <sz val="11"/>
        <color theme="1"/>
        <rFont val="Calibri"/>
      </rPr>
      <t>Preconditions:</t>
    </r>
    <r>
      <rPr>
        <sz val="11"/>
        <color theme="1"/>
        <rFont val="Calibri"/>
      </rPr>
      <t xml:space="preserve">
 - Device is paired Panel name added.
 - User is on the Switch Name entry screen.
1. On the Switch Name input page, press the mobile back button.
2. Observe the app behavior.</t>
    </r>
  </si>
  <si>
    <t>1. No further action or page navigation from Switch Name input to Switch Board Name input popup.
2. User remains on the same page until valid input or navigation is chosen.</t>
  </si>
  <si>
    <t>TC_16</t>
  </si>
  <si>
    <t>Ensure error is shown if load type is skipped while entering switch names.</t>
  </si>
  <si>
    <r>
      <rPr>
        <b/>
        <sz val="11"/>
        <color theme="1"/>
        <rFont val="Calibri"/>
      </rPr>
      <t>Preconditions:</t>
    </r>
    <r>
      <rPr>
        <sz val="11"/>
        <color theme="1"/>
        <rFont val="Calibri"/>
      </rPr>
      <t xml:space="preserve">
 - Device is paired and Panel Name has been added.
 - User is on the Switch Name entry screen.
1. Enter switch names (valid or blank as per case).
2. Do not select any load type for one or more switches.
3. Tap Save.</t>
    </r>
  </si>
  <si>
    <t>1. System should display an error message (e.g., “Please select a load type for all switches”).
2. User should not be allowed to proceed until a load type is assigned to each switch.</t>
  </si>
  <si>
    <t>TC_17</t>
  </si>
  <si>
    <t>Switch load type
Ensures unselected load types default to Socket while device/switch names remain saved.</t>
  </si>
  <si>
    <r>
      <rPr>
        <b/>
        <sz val="11"/>
        <color theme="1"/>
        <rFont val="Calibri"/>
      </rPr>
      <t>Preconditions:</t>
    </r>
    <r>
      <rPr>
        <sz val="11"/>
        <color theme="1"/>
        <rFont val="Calibri"/>
      </rPr>
      <t xml:space="preserve">
 - Device pairing is completed.
 - User is on the Switch Name entry screen.
1. On the Switch Name &amp; Load Type screen, leave the load type unselected.
2. Force close the app without saving.
3. Reopen the app and navigate to the same device’s switch list.</t>
    </r>
  </si>
  <si>
    <t>1. The system should automatically assign the default load type as Socket for all switches where no load type was selected, and a corresponding switch image should be displayed for each.
2. Device and switch names should persist as per the previously saved entries.
3. User can later update the load type from Edit Switch Settings.</t>
  </si>
  <si>
    <t>TC_18</t>
  </si>
  <si>
    <t>Checks input fields and dropdowns are clear, aligned, and responsive.</t>
  </si>
  <si>
    <r>
      <rPr>
        <b/>
        <sz val="11"/>
        <color theme="1"/>
        <rFont val="Calibri"/>
      </rPr>
      <t>Preconditions:</t>
    </r>
    <r>
      <rPr>
        <sz val="11"/>
        <color theme="1"/>
        <rFont val="Calibri"/>
      </rPr>
      <t xml:space="preserve">
 - Device pairing is completed.
 - User is on the Switch Name entry screen
1. Check visibility and alignment of input fields and dropdowns.
2. Interact with fields to verify responsiveness.
3. Verify labels and placeholders are readable.</t>
    </r>
  </si>
  <si>
    <t>1. All fields and dropdowns are properly aligned, responsive, and clearly visible.</t>
  </si>
  <si>
    <t>TC_19</t>
  </si>
  <si>
    <t>Verify device pairing completes within 5s on stable Wi-Fi.</t>
  </si>
  <si>
    <r>
      <rPr>
        <b/>
        <sz val="11"/>
        <color theme="1"/>
        <rFont val="Calibri"/>
      </rPr>
      <t>Preconditions:</t>
    </r>
    <r>
      <rPr>
        <sz val="11"/>
        <color theme="1"/>
        <rFont val="Calibri"/>
      </rPr>
      <t xml:space="preserve">
 - Device is paired under a stable Wi-Fi connection.
1. Start the device pairing process under stable Wi-Fi.
2. Complete the pairing and setup.
3. Measure response/processing time.</t>
    </r>
  </si>
  <si>
    <t>1. Device addition should be completed within 5 seconds under a stable network.</t>
  </si>
  <si>
    <t>TC_20</t>
  </si>
  <si>
    <t>Verify device pairing handles weak Wi-Fi by showing retry or error message gracefully.</t>
  </si>
  <si>
    <r>
      <rPr>
        <b/>
        <sz val="11"/>
        <color theme="1"/>
        <rFont val="Calibri"/>
      </rPr>
      <t>Preconditions:</t>
    </r>
    <r>
      <rPr>
        <sz val="11"/>
        <color theme="1"/>
        <rFont val="Calibri"/>
      </rPr>
      <t xml:space="preserve">
 - Device is ready for pairing.
 - User’s phone is connected to a weak/unreliable Wi-Fi network.
1. Start device pairing under weak Wi-Fi conditions.
2. Monitor the app response during the pairing process.
3. Check for retry/error prompts if connection fails.</t>
    </r>
  </si>
  <si>
    <t>1. Pairing should not proceed silently.
2. The app should display a retry option or error message gracefully.
3. No app crash or freeze should occur.</t>
  </si>
  <si>
    <t>TC_21</t>
  </si>
  <si>
    <t>Verify that all app elements are properly announced and navigable using TalkBack/VoiceOver for accessibility support.</t>
  </si>
  <si>
    <r>
      <rPr>
        <b/>
        <sz val="11"/>
        <color theme="1"/>
        <rFont val="Calibri"/>
      </rPr>
      <t>Preconditions:</t>
    </r>
    <r>
      <rPr>
        <sz val="11"/>
        <color theme="1"/>
        <rFont val="Calibri"/>
      </rPr>
      <t xml:space="preserve">
 - Device is paired and accessible.
 - Accessibility services available on the device (TalkBack for Android / VoiceOver for iOS).
1. Open Settings on the mobile device.
2. Search and navigate to Accessibility.
3. For Android:
 - If not visible, install Android Accessibility Suite from Play Store.
 - Navigate to Accessibility → Installed Services/Screen Reader → TalkBack.
 - Toggle ON TalkBack.
4. Alternatively, enable via shortcut: Press &amp; hold both volume keys for 3 seconds.
5. For iOS:
 - Go to Settings → Accessibility → VoiceOver.
 - Toggle ON VoiceOver.
5. Return to the application under test.
6. Navigate across the app screens using gestures (swipe left/right, double-tap to select).
7. Observe whether:
 - All labels, buttons, and input fields are announced properly.
 - Navigation order is logical and consistent.
 - Hidden/unnecessary elements are not read aloud.</t>
    </r>
  </si>
  <si>
    <t>1. All UI elements (labels, buttons, input fields) are read correctly by TalkBack/VoiceOver.
2. Navigation follows the correct logical order.
3. User can operate the app entirely using the screen reader without missing context.</t>
  </si>
  <si>
    <t>TC_22</t>
  </si>
  <si>
    <t>Verify app accessibility by ensuring UI remains clear and usable with large font size enabled.</t>
  </si>
  <si>
    <r>
      <rPr>
        <b/>
        <sz val="11"/>
        <color theme="1"/>
        <rFont val="Calibri"/>
      </rPr>
      <t xml:space="preserve">Preconditions:
</t>
    </r>
    <r>
      <rPr>
        <sz val="11"/>
        <color theme="1"/>
        <rFont val="Calibri"/>
      </rPr>
      <t xml:space="preserve"> - System font size set to maximum (Large/Extra Large).
1. Open the device Settings → Accessibility (or Display &amp; Text Size depending on OS).
2. Increase the system font size to maximum (or large scale option).
3. Relaunch the application.
4. Navigate through key screens:
 - Login / Signup
 - Device List / Dashboard
 - Switch Name &amp; Load Type page
 - Settings / Menu
5. Observe alignment, responsiveness, and visibility of all labels, input fields, buttons, and icons.
6. Attempt to interact with buttons or links to verify no truncation or overlap affects usability.</t>
    </r>
  </si>
  <si>
    <t>1. All fields, labels, and buttons remain readable with large fonts.
2. No text truncation, overlap, or misalignment occurs.
3. User should be able to navigate and interact without accessibility issues.</t>
  </si>
  <si>
    <t>TC_23</t>
  </si>
  <si>
    <t>Verify pairing flow works correctly after changing the theme via app settings.</t>
  </si>
  <si>
    <r>
      <rPr>
        <b/>
        <sz val="11"/>
        <color theme="1"/>
        <rFont val="Calibri"/>
      </rPr>
      <t>Preconditions:</t>
    </r>
    <r>
      <rPr>
        <sz val="11"/>
        <color theme="1"/>
        <rFont val="Calibri"/>
      </rPr>
      <t xml:space="preserve">
 - Device is paired and app is installed.
 - App provides a theme toggle option (Dark/Light).
1. Change the theme via App Settings → Theme.
2. Start device pairing process.
3. Observe pairing guidance images and animations.
4. Open Panel Name input popup and verify visibility of fields, labels, and buttons.
5. Open Switch Name &amp; Load Type page and verify visibility of fields, labels, dropdowns, and icons/images.
6. Complete pairing and check final device list/dashboard.</t>
    </r>
  </si>
  <si>
    <t>1. All images, animations, and popups display correctly in the selected theme.
2. No text truncation, overlap, or unreadable content.
3. Pairing flow completes smoothly without glitches.</t>
  </si>
  <si>
    <t>TC_24</t>
  </si>
  <si>
    <t>Verify pairing flow works correctly after changing the theme via system settings.</t>
  </si>
  <si>
    <r>
      <rPr>
        <b/>
        <sz val="11"/>
        <color theme="1"/>
        <rFont val="Calibri"/>
      </rPr>
      <t>Preconditions:</t>
    </r>
    <r>
      <rPr>
        <sz val="11"/>
        <color theme="1"/>
        <rFont val="Calibri"/>
      </rPr>
      <t xml:space="preserve">
 - Device is paired and app is installed.
 - System-level Dark/Light mode feature is available.
1. Change the theme via System Settings → Display/Appearance → Theme.
2. Launch the app and start device pairing process.
3. Observe pairing guidance images and animations.
4. Open Panel Name input popup and verify visibility of fields, labels, and buttons.
5. Open Switch Name &amp; Load Type page and verify visibility of fields, labels, dropdowns, and icons/images.
6. Complete pairing and check final device list/dashboard.</t>
    </r>
  </si>
  <si>
    <t>1. App adapts to system theme correctly.
2. All images, animations, and popups display correctly.
3. No truncation, overlap, or unreadable content.
4. Pairing flow completes smoothly without glitches.</t>
  </si>
  <si>
    <t>TC_25</t>
  </si>
  <si>
    <t>Verify app retains data and resumes properly after an incoming call during entry.</t>
  </si>
  <si>
    <r>
      <rPr>
        <b/>
        <sz val="11"/>
        <color theme="1"/>
        <rFont val="Calibri"/>
      </rPr>
      <t>Preconditions:</t>
    </r>
    <r>
      <rPr>
        <sz val="11"/>
        <color theme="1"/>
        <rFont val="Calibri"/>
      </rPr>
      <t xml:space="preserve">
1. Device pairing is in progress.
2. User is on the Device Name or Switch Name &amp; Load Type entry screen.
1. Start entering device/switch details.
2. Receive an incoming call while in the middle of entry.
3. Answer or reject the call.
4. Return to the app after the call.</t>
    </r>
  </si>
  <si>
    <t>1. Previously entered data remains intact.
2. App resumes normally without crashes or UI issues.
3. User can continue pairing and complete it successfully.</t>
  </si>
  <si>
    <t>TC_26</t>
  </si>
  <si>
    <t>Verify app retains input and resumes correctly after device screen lock during entry.</t>
  </si>
  <si>
    <r>
      <rPr>
        <b/>
        <sz val="11"/>
        <color theme="1"/>
        <rFont val="Calibri"/>
      </rPr>
      <t>Preconditions:</t>
    </r>
    <r>
      <rPr>
        <sz val="11"/>
        <color theme="1"/>
        <rFont val="Calibri"/>
      </rPr>
      <t xml:space="preserve">
 - Device pairing is in progress.
 - User is on the Device Name or Switch Name &amp; Load Type entry screen.
1. Start entering device/switch details.
2. Lock the device screen mid-entry.
3. Unlock the device and return to the app.
4. Navigate back to the entry screen if needed.</t>
    </r>
  </si>
  <si>
    <t>1. All previously entered data remains intact.
2. App resumes normally without UI issues or crashes.
3. User can continue pairing and complete it successfully.</t>
  </si>
  <si>
    <t>TC_27</t>
  </si>
  <si>
    <t>Verify app retains input and resumes correctly after an update during device setup.</t>
  </si>
  <si>
    <t>Preconditions:
 - Device pairing is in progress.
 - App update is available via the app store or internal testing.
 - User is on the Device Name or Switch Name &amp; Load Type entry screen.
1. Start entering device/switch details.
2. Trigger the app update (from app store or internal source) while entry is in progress.
3. Complete the update process.
4. Reopen the app and navigate back to the entry screen if required.</t>
  </si>
  <si>
    <t>1. Previously entered data is retained after the update.
2. App resumes normally without UI issues or crashes.
3. User can continue pairing and complete the process successfully.</t>
  </si>
  <si>
    <t>TC_28</t>
  </si>
  <si>
    <t>Verify app handles battery low popup gracefully during setup without data loss.</t>
  </si>
  <si>
    <r>
      <rPr>
        <b/>
        <sz val="11"/>
        <color theme="1"/>
        <rFont val="Calibri"/>
      </rPr>
      <t>Preconditions:</t>
    </r>
    <r>
      <rPr>
        <sz val="11"/>
        <color theme="1"/>
        <rFont val="Calibri"/>
      </rPr>
      <t xml:space="preserve">
 - Device pairing is in progress.
 - Device battery is low enough to trigger the low battery warning.
 - User is on the Device Name or Switch Name &amp; Load Type entry screen.
1. Start entering device/switch details.
2. Wait until the battery low popup appears.
3. Observe app behavior while the popup is displayed.
4. Dismiss or interact with the popup as required.
5. Continue pairing process.</t>
    </r>
  </si>
  <si>
    <t>1. App continues to function normally without crashes or UI glitches.
2. Previously entered data is retained.
3. User can complete pairing successfully.</t>
  </si>
  <si>
    <t>TC_29</t>
  </si>
  <si>
    <t>Verify app handles network loss gracefully during device setup without data loss.</t>
  </si>
  <si>
    <r>
      <rPr>
        <b/>
        <sz val="11"/>
        <color theme="1"/>
        <rFont val="Calibri"/>
      </rPr>
      <t>Preconditions:</t>
    </r>
    <r>
      <rPr>
        <sz val="11"/>
        <color theme="1"/>
        <rFont val="Calibri"/>
      </rPr>
      <t xml:space="preserve">
 - Device pairing is in progress.
 - Device is connected to Wi-Fi or mobile data.
 - User is on the Device Name or Switch Name &amp; Load Type entry screen.
1. Start entering device/switch details and begin pairing.
2. Disconnect Wi-Fi or mobile data mid-setup.
3. Observe app behavior: check for retry prompts, error messages, or automatic reconnection attempts.
4. Reconnect network and continue pairing process.</t>
    </r>
  </si>
  <si>
    <t>1. App displays a clear error or retry message without crashing.
2. Previously entered data is retained.
3. User can resume pairing once the network is restored.</t>
  </si>
  <si>
    <t>ADD DEVICE NAME IN SWITCHBOARD</t>
  </si>
  <si>
    <t>Add new switchboard name UI Check</t>
  </si>
  <si>
    <t>1.Check Top of the page "Switchboard "Title is centrally present
2.Check Textbox input  field present 
3.Check Placeholder text present or not . 
4.Check UI Layout by Using page on phone, tablet, iPad and Rotate it in landscape/portrait</t>
  </si>
  <si>
    <t>1.Top of the page "Switchboard "Title should be  present.
2.Textbox field should be present.
3.Placeholder text "Enter your smart panel name" should be present 
4.UI adapts, is touch-friendly, no clipping/overflow</t>
  </si>
  <si>
    <t>Add new switchboard name Valid Check</t>
  </si>
  <si>
    <t xml:space="preserve">1.Check Device name accepts valid alpha-numeric input, within limit
2.Verify while entering On device name page,then  close app and  Reopen app </t>
  </si>
  <si>
    <t>1.Device name should be accepted, user proceeds to switch naming
2.Device gets default name (e.g., “MyDevice123”), user must able to  edit this later</t>
  </si>
  <si>
    <t>Add new switchboard name InValid Check</t>
  </si>
  <si>
    <t xml:space="preserve">1.Check Device name field with  empty input
2.Check Device name as entering special characters (Eg: ‘My@Device!’)
3.Enter name exceeding max length (e.g., 15+ chars)
</t>
  </si>
  <si>
    <t xml:space="preserve">1.Error message as “Device name cannot be empty” should appear and Save button should be  disabled
2.Error message as “Special characters not allowed” should appear .
3.Error message as “Enter name within 10 Characters” should appear.
</t>
  </si>
  <si>
    <t>Add_Switchboard_TC_76</t>
  </si>
  <si>
    <t xml:space="preserve">EDIT SWITCH BOARD </t>
  </si>
  <si>
    <t>Edit Switch Board
 Page UI Check</t>
  </si>
  <si>
    <r>
      <rPr>
        <b/>
        <sz val="11"/>
        <color theme="1"/>
        <rFont val="Arial"/>
      </rPr>
      <t xml:space="preserve">Pre-Condition :
</t>
    </r>
    <r>
      <rPr>
        <sz val="11"/>
        <color theme="1"/>
        <rFont val="Arial"/>
      </rPr>
      <t xml:space="preserve"> - In Room Page, After Clicking SideBar Menu ,In that after clicking Switchboard Edit it navigates directly to Add Switch Page 
1.Check if header, back icon, location breadcrumb, text fields, dropdowns, 3-dot menu, and Save are aligned properly
2.Check  placeholder text displaying "pairing time entered switch name"  or  “Enter Switch Name” is present or not
3.Tap dropdown on any row 
4.Observe Save button across all screens</t>
    </r>
  </si>
  <si>
    <t>1.All UI components should be aligned and visible properly on all screens
2.In  Placeholder Text, While displaying "Pairing time entered switch name"  or  “Enter Switch Name” should be  present
3.Should display types like “Fan, Light, AC, TV, Other” with proper spacing
4.Save button should be aligned, styled consistently, and inactive until valid input is entered</t>
  </si>
  <si>
    <t>Add_Switchboard_TC_77</t>
  </si>
  <si>
    <r>
      <rPr>
        <sz val="11"/>
        <color theme="1"/>
        <rFont val="Arial"/>
      </rPr>
      <t xml:space="preserve">5.Check After Entering Switch Name, it changes correctly or not </t>
    </r>
    <r>
      <rPr>
        <b/>
        <sz val="11"/>
        <color theme="1"/>
        <rFont val="Arial"/>
      </rPr>
      <t xml:space="preserve">. </t>
    </r>
    <r>
      <rPr>
        <sz val="11"/>
        <color theme="1"/>
        <rFont val="Arial"/>
      </rPr>
      <t>Eg: ( 'Ac' )
6.Check After Clicking any Fields in the Dropdown, Atlast Selected Specific Field is shown or not 
7.Verify After Clicking 3 dots, Edit  option  is shown or not
8.Check After Clicking Edit Option, It shows Enter Switch Name Page or not</t>
    </r>
  </si>
  <si>
    <t>5.After Entering Switch Name, it should change correctly 
6.After Clicking any Fields in the Dropdown, Atlast Selected Specific Field should be  shown
7.After Clicking 3 dots, Edit  option  should be  shown
8.After Clicking Edit Option, It should directly show  Enter Switch Name Page</t>
  </si>
  <si>
    <t>Add_Switchboard_TC_78</t>
  </si>
  <si>
    <t>Edit Switch Board
 Page Functionality Check</t>
  </si>
  <si>
    <t xml:space="preserve">1.Check Dropdown and its sub section are clickable or not 
2.Check 3 dot button  and its edit Button  is clickable or not 
3.Check After Changes  Save Button is clickable or not 
4.In Enter Switch Name Page , Check User able to enter  or not 
5. Check App Back button is clickable or not </t>
  </si>
  <si>
    <t>1.Dropdown and its sub section should be clickable 
2. 3 dot button  and its edit  Button  should be clickable 
3. After Changes  Save Button should be  clickable
4.In Enter Switch Name Page , User should able to enter in the field 
5.App Back button should be clickable</t>
  </si>
  <si>
    <t>Add_Switchboard_TC_79</t>
  </si>
  <si>
    <t>Edit Switch Board
 Page Valid Check</t>
  </si>
  <si>
    <t xml:space="preserve">1.Enter unique switch name (e.g., “Fan 1”), select type from dropdown, tap Save (Page 1/2)
2.Enter multiple names + types in available rows eg.(Max 6 switches)
3.Enter new switch name manually 
</t>
  </si>
  <si>
    <t xml:space="preserve">1.Switch should be added successfully
2.All entered switches should be saved when Save is tapped
3.Field should accept new name and activate Save button
</t>
  </si>
  <si>
    <t>Add_Switchboard_TC_80</t>
  </si>
  <si>
    <t xml:space="preserve">4.Leave name field blank or unselected type, try to tap Save
5.Enter duplicate switch names 
6.Choose “Fan” from type dropdown → keep name field blank → Tap Save
</t>
  </si>
  <si>
    <t xml:space="preserve">4.Save button should remain disabled unless all required fields are filled
5.App should prevent duplicate names or display a warning
6.Save button should remain inactive
</t>
  </si>
  <si>
    <t>Add_Switchboard_TC_81</t>
  </si>
  <si>
    <t>Edit Switch Board
 Page InValid Check</t>
  </si>
  <si>
    <t>1.Add duplicate switch names eg :(Enter “Fan 1” in two different rows → Tap Save)
2.Enter unsupported special characters in name eg :(Enter special characters like @#&amp;%* in switch name field → Tap Save)
3.Complete all required fields → Turn off internet → Tap Save</t>
  </si>
  <si>
    <t>1.Should show validation error or prevent submission 
2.Should display error or not allow save if unsupported characters are restricted
3.App should show appropriate error or offline handling message</t>
  </si>
  <si>
    <r>
      <rPr>
        <sz val="11"/>
        <color theme="1"/>
        <rFont val="Calibri"/>
      </rPr>
      <t xml:space="preserve">New Test Cases for </t>
    </r>
    <r>
      <rPr>
        <b/>
        <sz val="11"/>
        <color theme="1"/>
        <rFont val="Calibri"/>
      </rPr>
      <t>Device_Add_1</t>
    </r>
  </si>
  <si>
    <r>
      <rPr>
        <sz val="11"/>
        <color theme="1"/>
        <rFont val="Arial"/>
      </rPr>
      <t xml:space="preserve"> </t>
    </r>
    <r>
      <rPr>
        <b/>
        <sz val="11"/>
        <color theme="1"/>
        <rFont val="Arial"/>
      </rPr>
      <t>Raashid</t>
    </r>
  </si>
  <si>
    <t>Add Device_1_tc_001</t>
  </si>
  <si>
    <t>Add Device_1_tc_002</t>
  </si>
  <si>
    <t>Add Device_1_tc_003</t>
  </si>
  <si>
    <t>ADD SWITCH PAGE</t>
  </si>
  <si>
    <t xml:space="preserve">Add switch Page Valid Check </t>
  </si>
  <si>
    <t>1.Check Switch name accepts valid alpha-numeric input (Eg : MainLight)
2.Verify while entering On Switch name,then close app and  Reopen app</t>
  </si>
  <si>
    <t>1.Field should be accepted.
2.Switch name gets default name (e.g., “Switch 1”), user must able to  edit this later</t>
  </si>
  <si>
    <t>Add Device_1_tc_004</t>
  </si>
  <si>
    <t xml:space="preserve">Add switch Page InValid Check </t>
  </si>
  <si>
    <r>
      <rPr>
        <sz val="11"/>
        <color rgb="FFFF00FF"/>
        <rFont val="Arial"/>
      </rPr>
      <t>1.Check Switch  name as entering special characters (Eg: ‘Fan!@#’)
2.Check entering Input name by exceeding limit</t>
    </r>
    <r>
      <rPr>
        <sz val="11"/>
        <color theme="1"/>
        <rFont val="Arial"/>
      </rPr>
      <t xml:space="preserve">
</t>
    </r>
  </si>
  <si>
    <r>
      <rPr>
        <sz val="11"/>
        <color rgb="FFFF00FF"/>
        <rFont val="Arial"/>
      </rPr>
      <t>1.Error message as “Special characters not allowed” should appear .
2.Error or input should be capped.</t>
    </r>
    <r>
      <rPr>
        <sz val="11"/>
        <color theme="1"/>
        <rFont val="Arial"/>
      </rPr>
      <t xml:space="preserve">
</t>
    </r>
  </si>
  <si>
    <t>Varadharajan</t>
  </si>
  <si>
    <t>Add Device_1_TC_01</t>
  </si>
  <si>
    <t>Verify switches display as square cards under room</t>
  </si>
  <si>
    <r>
      <rPr>
        <b/>
        <sz val="11"/>
        <color rgb="FF000000"/>
        <rFont val="Arial"/>
      </rPr>
      <t xml:space="preserve">Pre-Conditions
</t>
    </r>
    <r>
      <rPr>
        <sz val="11"/>
        <color rgb="FF000000"/>
        <rFont val="Arial"/>
      </rPr>
      <t>Room has multiple switches paired
1.Navigate to the last hierarchy.
2.Open a room with multiple paired switches.</t>
    </r>
  </si>
  <si>
    <t>All switches for that room are displayed as square cards below the “Devices” heading.</t>
  </si>
  <si>
    <t>Add Device_1_TC_02</t>
  </si>
  <si>
    <t>Verify load type image shown for each switch</t>
  </si>
  <si>
    <r>
      <rPr>
        <b/>
        <sz val="11"/>
        <color rgb="FF000000"/>
        <rFont val="Arial"/>
      </rPr>
      <t xml:space="preserve">Pre-Conditions
</t>
    </r>
    <r>
      <rPr>
        <sz val="11"/>
        <color rgb="FF000000"/>
        <rFont val="Arial"/>
      </rPr>
      <t>Switch configured with load type
1.Open a room with multiple switches.
2.Check each switch card on room page and individual switch page.</t>
    </r>
  </si>
  <si>
    <t>Correct load image is displayed per switch type (e.g., fan → fan icon, light → light icon, others → generic switch icon).</t>
  </si>
  <si>
    <t>Add Device_1_TC_03</t>
  </si>
  <si>
    <t>Verify ON/OFF relay status on switch card</t>
  </si>
  <si>
    <r>
      <rPr>
        <b/>
        <sz val="11"/>
        <color rgb="FF000000"/>
        <rFont val="Arial"/>
      </rPr>
      <t xml:space="preserve">Pre-Conditions
</t>
    </r>
    <r>
      <rPr>
        <sz val="11"/>
        <color rgb="FF000000"/>
        <rFont val="Arial"/>
      </rPr>
      <t>Switch is paired &amp; Connectivity online state
1.Toggle the switch ON and OFF.
2.Observe the switch card.</t>
    </r>
  </si>
  <si>
    <t xml:space="preserve">1.Switch card updates to show correct relay ON/OFF status. both App and  device </t>
  </si>
  <si>
    <t>Add Device_1_TC_04</t>
  </si>
  <si>
    <t>Verify Switch Box name &amp; Switch name display</t>
  </si>
  <si>
    <t>Pre-Conditions
Switch is paired &amp; Connectivity online state
1.Open a room.
2.Observe each switch card name and characters</t>
  </si>
  <si>
    <t>1.Left-down area of card shows correct Switch Board name and Switch name.</t>
  </si>
  <si>
    <t>Add Device_1_TC_05</t>
  </si>
  <si>
    <t>Verify connectivity disable icon for offline device</t>
  </si>
  <si>
    <t>Precondition: 
Device is offline or disable Internet/WIFI.
1.Disable the Connectivity or Turn off the Device Power supply.
2.Close and open the Mobile App.</t>
  </si>
  <si>
    <t>1.Red color “No connectivity” symbol appears on all switch cards.
2.“Switch Board Connection lost” text appears on each respective switch page.</t>
  </si>
  <si>
    <t>Add Device_1_TC_06</t>
  </si>
  <si>
    <t>Verify room name display on switch page</t>
  </si>
  <si>
    <r>
      <rPr>
        <b/>
        <sz val="11"/>
        <color rgb="FF000000"/>
        <rFont val="Arial"/>
      </rPr>
      <t>Precondition</t>
    </r>
    <r>
      <rPr>
        <sz val="11"/>
        <color rgb="FF000000"/>
        <rFont val="Arial"/>
      </rPr>
      <t xml:space="preserve">: 
Valid room hierarchy.
1.Open switch list for a room.
2.Verify hamburger menu available top-right
</t>
    </r>
  </si>
  <si>
    <t>1.Room name is displayed at the top of the switch page.
2.Hamburger menu visible at right top</t>
  </si>
  <si>
    <t>Add Device_1_TC_07</t>
  </si>
  <si>
    <t>Verify theme applied on switch list</t>
  </si>
  <si>
    <r>
      <rPr>
        <b/>
        <sz val="11"/>
        <color rgb="FF000000"/>
        <rFont val="Arial"/>
      </rPr>
      <t>Precondition</t>
    </r>
    <r>
      <rPr>
        <sz val="11"/>
        <color rgb="FF000000"/>
        <rFont val="Arial"/>
      </rPr>
      <t>: Theme enabled in device settings.
1.Change app theme to Light/Dark/Auto.
2.Open switch list page.</t>
    </r>
  </si>
  <si>
    <t>1.Switch list page adapts to the selected theme.</t>
  </si>
  <si>
    <t>Add Device_1_TC_08</t>
  </si>
  <si>
    <t>Verify switch name display at top center</t>
  </si>
  <si>
    <r>
      <rPr>
        <b/>
        <sz val="11"/>
        <color rgb="FF000000"/>
        <rFont val="Arial"/>
      </rPr>
      <t xml:space="preserve">Precondition: 
</t>
    </r>
    <r>
      <rPr>
        <sz val="11"/>
        <color rgb="FF000000"/>
        <rFont val="Arial"/>
      </rPr>
      <t>Switch is configured.
1.Open a switch.
2.Observe the title area.</t>
    </r>
  </si>
  <si>
    <t>Switch name is displayed at the top center of the page.</t>
  </si>
  <si>
    <t>Add Device_1_TC_09</t>
  </si>
  <si>
    <t>Verify back button navigation from switch pag</t>
  </si>
  <si>
    <t>1.Open a switch page.
2.Tap the back button.</t>
  </si>
  <si>
    <t>1.User is navigated back to the switch list page.</t>
  </si>
  <si>
    <t>Add Device_1_TC_10</t>
  </si>
  <si>
    <t>Verify Energy Consumed displayed in units</t>
  </si>
  <si>
    <t xml:space="preserve">Precondition: Device is online.
1.Open a switch page.
2.Check the Energy Consumed
</t>
  </si>
  <si>
    <t>1.Energy consumed is displayed correctly in units. In Watts</t>
  </si>
  <si>
    <t>Add Device_1_TC_11</t>
  </si>
  <si>
    <t>Verify switch ON/OFF toggle functionality</t>
  </si>
  <si>
    <t>Precondition: Device is online
1.Toggle the switch ON/OFF.
2.Check the device state.</t>
  </si>
  <si>
    <t>1.Device relay toggle should ON/OFF correctly.</t>
  </si>
  <si>
    <t>Add Device_1_TC_12</t>
  </si>
  <si>
    <t>Verify live energy Periodic  value display (V, P, I)</t>
  </si>
  <si>
    <t>1.Turn ON the switch.
2.Check the Periodic value section.</t>
  </si>
  <si>
    <t>1.Live Voltage (V), Current (I), and Power (P) values are displayed correctly.</t>
  </si>
  <si>
    <t>Add Device_1_TC_13</t>
  </si>
  <si>
    <t>Verify metrics display as “-” when disconnected</t>
  </si>
  <si>
    <t xml:space="preserve">
1.Disconnect internet or Disable the Connctivity 
2.Open a switch page.</t>
  </si>
  <si>
    <t>Voltage, Current, and Power metrics should shown as “-”.</t>
  </si>
  <si>
    <t>Add Device_1_TC_14</t>
  </si>
  <si>
    <t>Verify metrics show “0” when switch is OFF</t>
  </si>
  <si>
    <t>1.Turn OFF the Load from device 
2.Check the Periodic Analytics section.</t>
  </si>
  <si>
    <t>Voltage = default value , Current = 0, Power = 0.</t>
  </si>
  <si>
    <t>Add Device_1_TC_15</t>
  </si>
  <si>
    <t>Verify Add Schedule button availability</t>
  </si>
  <si>
    <t>1.Open a switch page.
2.Check the bottom center of the page.</t>
  </si>
  <si>
    <t>“Add Schedule” button should visible.</t>
  </si>
  <si>
    <t>Add Device_1_TC_16</t>
  </si>
  <si>
    <t>Verify switch card scrolling with more than 10 switches</t>
  </si>
  <si>
    <t>Precondition: Room has multiple switches (e.g., 15).
1.Add 15 switches to a room.
2.Open the room check Scrolling Function</t>
  </si>
  <si>
    <t>Switch cards scroll smoothly without UI overlap or glitches.</t>
  </si>
  <si>
    <t>Add Device_1_TC_17</t>
  </si>
  <si>
    <t>Verify switch card order consistency</t>
  </si>
  <si>
    <t>1.Note the order of switch cards.
2.Close and reopen the app.</t>
  </si>
  <si>
    <t>Switch cards appear in the same order as before also orderwise</t>
  </si>
  <si>
    <t>Add Device_1_TC_18</t>
  </si>
  <si>
    <t>Verify switch card resize on TAB</t>
  </si>
  <si>
    <t>Precondition: Device = TAB.,Android,IOS
1.Open the app on a TAB device.
2.Navigate to switch list.</t>
  </si>
  <si>
    <t>Switch cards resize correctly and display in proper grid layout.(Android,IOS)</t>
  </si>
  <si>
    <t>Add Device_1_TC_19</t>
  </si>
  <si>
    <t>Verify switch card refresh after renaming</t>
  </si>
  <si>
    <t>Precondition: Rename completed.
Rename any switch.
Open the switch card.</t>
  </si>
  <si>
    <t>Updated switch name is displayed on the card.</t>
  </si>
  <si>
    <t>Add Device_1_TC_20</t>
  </si>
  <si>
    <t>Verify switch name at top and back button navigation</t>
  </si>
  <si>
    <t>1.Open a switch.
2.Check that switch name is shown at top-center.
3.Tap the back button.</t>
  </si>
  <si>
    <t>Switch name is displayed at the top-center, and back button navigates to the switch list.</t>
  </si>
  <si>
    <r>
      <rPr>
        <b/>
        <sz val="11"/>
        <color theme="1"/>
        <rFont val="Arial"/>
      </rPr>
      <t xml:space="preserve">Pre-Condition :
</t>
    </r>
    <r>
      <rPr>
        <sz val="11"/>
        <color theme="1"/>
        <rFont val="Arial"/>
      </rPr>
      <t xml:space="preserve"> - In Room Page, After Clicking SideBar Menu ,In that after clicking Switchboard Edit it navigates directly to Add Switch Page 
1.Check if header, back icon, location breadcrumb, text fields, dropdowns, 3-dot menu, and Save are aligned properly
2.Check  placeholder text displaying "pairing time entered switch name"  or  “Enter Switch Name” is present or not
3.Tap dropdown on any row 
4.Observe Save button across all screens</t>
    </r>
  </si>
  <si>
    <r>
      <rPr>
        <sz val="11"/>
        <color theme="1"/>
        <rFont val="Arial"/>
      </rPr>
      <t xml:space="preserve">5.Check After Entering Switch Name, it changes correctly or not </t>
    </r>
    <r>
      <rPr>
        <b/>
        <sz val="11"/>
        <color theme="1"/>
        <rFont val="Arial"/>
      </rPr>
      <t xml:space="preserve">. </t>
    </r>
    <r>
      <rPr>
        <sz val="11"/>
        <color theme="1"/>
        <rFont val="Arial"/>
      </rPr>
      <t>Eg: ( 'Ac' )
6.Check After Clicking any Fields in the Dropdown, Atlast Selected Specific Field is shown or not 
7.Verify After Clicking 3 dots, Edit  option  is shown or not
8.Check After Clicking Edit Option, It shows Enter Switch Name Page or not</t>
    </r>
  </si>
  <si>
    <t>Add Switch Flow</t>
  </si>
  <si>
    <t>Add_Switchboard_TC_82</t>
  </si>
  <si>
    <t>Add Panel Page
UI Check</t>
  </si>
  <si>
    <t>1. Ensure the title "Add Switch" is visible.
2. Check below title after entering the screen Breadcrumb path is shown.
3. Verify that the input card for naming the smart panel is displayed correctly.
4. Verify Save button appears only when input exists.
5. Tap Save after entering valid panel name.
6. Relay ON/OFF icon right down on card.</t>
  </si>
  <si>
    <t>1. Title "Add Switch" should be visible at the top center of the screen.
2. Breadcrumb appears in correct format.
 (e.g., Room &gt; panel)
3. A white input card titled "Name your Smart Panel" should be visible with:
• A short description text
• A text input field
• A Save button.
4. Enter panel name text then only Save button becomes active/visible.
5. "Panel name saved successfully" toast should appear.
6.Icon updates to ON/OFF in card.</t>
  </si>
  <si>
    <t>Add_Switchboard_TC_83</t>
  </si>
  <si>
    <t xml:space="preserve">Add Panel Page
Functionality Check </t>
  </si>
  <si>
    <t>1. Verify that entering a valid panel name and clicking save transitions to the next step.
2. Ensure saving is not allowed if the input is empty.
3. Check that alphanumeric names are accepted.</t>
  </si>
  <si>
    <t>1. Panel name is saved. A toast message: “Panel name saved successfully!” is shown. The next screen (Enter Switch Name) is displayed.
2. No transition occurs. An error message or validation alert is displayed (e.g., "Please enter a name").
3. Panel name is accepted, and next screen is displayed.</t>
  </si>
  <si>
    <t>Add_Switchboard_TC_84</t>
  </si>
  <si>
    <t>Select Switch Type Page
UI Check</t>
  </si>
  <si>
    <r>
      <rPr>
        <sz val="11"/>
        <color theme="1"/>
        <rFont val="Arial"/>
      </rPr>
      <t xml:space="preserve">1. Switch name input should be visible.
2. Check Dropdown field is clearly shown.
3. Validate dropdown lists correct types.
4. Save button is visible below dropdown.
5. Tap Save after selecting switch field.
</t>
    </r>
    <r>
      <rPr>
        <sz val="11"/>
        <color rgb="FFFF00FF"/>
        <rFont val="Arial"/>
      </rPr>
      <t>After Save Switch:-
1.Type of load image shown on each card.</t>
    </r>
  </si>
  <si>
    <r>
      <rPr>
        <sz val="11"/>
        <color theme="1"/>
        <rFont val="Arial"/>
      </rPr>
      <t xml:space="preserve">1. Text field labeled "Enter Switch Name" appears.
2. Dropdown options appear clearly.
3. Open dropdown options: 
 -Fan, 
 -Light, 
 -Ceiling Fan, 
 -Others shown.
4. Button labeled “Save” appears
5. “Device added successfully!” pop-up appears with OK button.
</t>
    </r>
    <r>
      <rPr>
        <sz val="11"/>
        <color rgb="FFFF00FF"/>
        <rFont val="Arial"/>
      </rPr>
      <t>After Save Switch:-
1..Each card shows correct load image.
 -Fan, 
 -Light, 
 -Ceiling Fan, 
 -Others shown.</t>
    </r>
  </si>
  <si>
    <t>Add_Switchboard_TC_85</t>
  </si>
  <si>
    <t xml:space="preserve">Select Switch Type Page
Functionality Check </t>
  </si>
  <si>
    <r>
      <rPr>
        <sz val="11"/>
        <color rgb="FF000000"/>
        <rFont val="Arial"/>
      </rPr>
      <t>1. Ensure switch gets saved when switch name and field are entered correctly.
2. System should block saving if the switch name is not entered.
3. System should block saving if no switch type is selected.
4. Ensure each field option is selectable from dropdown.
5. Ensure system handles duplicate switch names.</t>
    </r>
    <r>
      <rPr>
        <sz val="11"/>
        <color rgb="FFFF00FF"/>
        <rFont val="Arial"/>
      </rPr>
      <t xml:space="preserve">
6.Tap switch card: opens respective detail page.
7.Click Back button.</t>
    </r>
  </si>
  <si>
    <r>
      <rPr>
        <sz val="11"/>
        <color theme="1"/>
        <rFont val="Arial"/>
      </rPr>
      <t xml:space="preserve">1. A pop-up appears with the message “Device added successfully!” and an OK button.
2. Switch is not saved. show validation error "Please Enter switch name"
3. Show validation message: “Please select a switch type.”
4. Selected value should appear in the dropdown and be retained after selection.
5. Try adding another switch with the same name and same field. System shows message like: “Switch name already exists”.
</t>
    </r>
    <r>
      <rPr>
        <sz val="11"/>
        <color rgb="FFFF00FF"/>
        <rFont val="Arial"/>
      </rPr>
      <t>6.Each tap brings up correct switch info without any issue.
7.List reloads, Page naigated previous state.</t>
    </r>
  </si>
  <si>
    <t xml:space="preserve">Verify Created Panel List UI </t>
  </si>
  <si>
    <t xml:space="preserve">1.Check the switch Cards listed right under “Devices” heading.
2.Room name top of page always.
3.Hamburger menu upper-right corner of the page.
4.Switch name shown top center of info page.
5.Add Schedule button present at bottom.
</t>
  </si>
  <si>
    <t>1.Switch Card should  below "Devices" heading.
2.Room name persists at page top.
3.Menu correctly right top.
4. switch name should show Top center displays.
5.Button centered-bottom in details.</t>
  </si>
  <si>
    <t xml:space="preserve">Verify Created Switch UI </t>
  </si>
  <si>
    <t>1.Energy Consumed (unit) displayed when ON.
2.Toggle ON/OFF changes device &amp; UI status.
3.Live energy consumption updates in real time.
4.Voltage, power, current shown when ON.
5.On connect loss, volt/amp/power show “-”.
6.Switch OFF: shows voltage, current/power=0.
7.verify Add Schedule button present at bottom.
8.Verify Yours and Other schedule is Toggle button.</t>
  </si>
  <si>
    <t xml:space="preserve">1.Consumed energy metric is shown.
2.Relay and UI update promptly.
3.Value refreshes while ON.
4.Metrics Value update and are visible.
5.Metrics display as "-" not stale.
6.Only voltage non-zero; current/amp 0.
7.Add Schedule button present in the center of bottom.
8.Your and Other Schedule Toggle buton is show in under the Energy consumed. </t>
  </si>
  <si>
    <t>1.Check Switch name accepts valid alpha-numeric input (Eg : MainLight)
2.Verify while entering On Switch name,then close app and  Reopen app
3.Verify While click Multi-switch: toggling one doesn't affect others switch.
4.14+ switches in a large room lists &amp; scrolls.</t>
  </si>
  <si>
    <t>1.Field should be accepted.
2.Switch name gets default name (e.g., “Switch 1”), user must able to  edit this later
3.Switch should reponse based on click the button without fail.
4.All switches present, scrolling smoothly without any issue.</t>
  </si>
  <si>
    <t>1.Check Switch  name as entering special characters (Eg: ‘Fan!@#’)
2.Check entering Input name by exceeding limit
3.Check after entered switch name and then wihtout selecting any dropdown try to proceed.</t>
  </si>
  <si>
    <t>1.Error message as “Special characters not allowed” should appear .
2.Error or input should be capped.
3.Error message as "Select any one Equipment" should appear</t>
  </si>
  <si>
    <t xml:space="preserve">No Internet Switch  
Connectivity Check </t>
  </si>
  <si>
    <t>1.Connectivity disabled icon (right down)
2.All switch pages accessible without connectivity.
3.“Switchboard connection Lost” overlays on net loss.</t>
  </si>
  <si>
    <t>1.Disabled icon shows Switch.
2.UI loads switch info in offline mode.
3.Overlay covers load image Issue show.</t>
  </si>
  <si>
    <t>Add_Switchboard_TC_86</t>
  </si>
  <si>
    <t>Single node Board</t>
  </si>
  <si>
    <t>Single Node – 1 Switch Displayed</t>
  </si>
  <si>
    <t>1. Pair with Single Node.
2. Navigate to Add Switch screen.</t>
  </si>
  <si>
    <t>System shows only 1 switch input after pairing with Single Node board. Only 1 switch input card is displayed.</t>
  </si>
  <si>
    <t>Add_Switchboard_TC_87</t>
  </si>
  <si>
    <t>Dual Node Board</t>
  </si>
  <si>
    <t>Dual Node – 2 Switches Displayed</t>
  </si>
  <si>
    <t>1. Pair with Dual Node.
2. Navigate to Add Switch screen.</t>
  </si>
  <si>
    <t>System shows 2 switch inputs for Dual Node boards. 2 switch input cards are displayed.</t>
  </si>
  <si>
    <t>Add_Switchboard_TC_88</t>
  </si>
  <si>
    <t xml:space="preserve">Single Node with Extension </t>
  </si>
  <si>
    <t>Single Node with Extension – Extended</t>
  </si>
  <si>
    <t>1. Pair with Single Node + Extension.
2. Go to Add Switch screen.</t>
  </si>
  <si>
    <t>1. Ensure 2 cards are shown for extension type boards. 2 switch cards: one for main, one for extension.</t>
  </si>
  <si>
    <t>Add_Switchboard_TC_89</t>
  </si>
  <si>
    <t xml:space="preserve">Single Node with Extension Functionality Check </t>
  </si>
  <si>
    <t>Single Node with Extension – users can add up to 5 switches, where each switch is treated as an extension</t>
  </si>
  <si>
    <t>1. Verify “Add Switch” button is visible after pairing.
2. Verify that system does not allow adding more than 5 switch extensions.
3. Ensure user can turn ON each switch individually.
4. Ensure user can turn OFF each switch individually.
5. Check system stability during quick toggle actions Rapidly tap ON/OFF for a switch 3–5 times.</t>
  </si>
  <si>
    <t>1. Pair Single Node with Extension board Go to Add Switch screen “+ Add Switch” button is visible.
2. Only 5 switch input cards are allowed to appear. Add button becomes hidden or disabled. An optional toast/message may appear: “Maximum number of switches are added.”
3. Each switch turns ON individually; corresponding device responds .
4. Each switch turns OFF individually; connected load is turned OFF.
5. Switch toggles consistently; no lag, app crash, or incorrect state shown.</t>
  </si>
  <si>
    <t>Verify new extension auto-adds as switch and works only with power.</t>
  </si>
  <si>
    <t>1. Insert an additional extension after Pairing completed.
2. Extension is automatically added as a Switch in the app.
3. Try to turn ON/OFF the Switch.
4. Provide power supply to the extension.</t>
  </si>
  <si>
    <t>1. Extension should appear as a Switch automatically.
2. ON/OFF control should work.
3. Switch will function only when power supply is given to the extension.</t>
  </si>
  <si>
    <t>Add_Switchboard_TC_90</t>
  </si>
  <si>
    <t xml:space="preserve">Remove switch </t>
  </si>
  <si>
    <t>Ensure that a switch can be removed from an existing switchboard</t>
  </si>
  <si>
    <t>Go to the Switchboard page, select a switchboard, tap the three-dot menu next to a switch, choose Remove, and confirm the switch is removed from the list.</t>
  </si>
  <si>
    <t>The selected switch is removed from the switchboard UI, no longer appears in the list, and the app updates the state without errors. the removed switch becomes non-functional unless re-added.</t>
  </si>
  <si>
    <t>Move to Top</t>
  </si>
  <si>
    <t>Add_Switchboard_TC_01</t>
  </si>
  <si>
    <t>PAIRING UI</t>
  </si>
  <si>
    <t>Add device Page</t>
  </si>
  <si>
    <t xml:space="preserve">Precondition:
navigate to Last page of Hierarchy  which used names as XXX and in that  Page, checking the app shows Add Switchboard button text as "Add Switchboard " text </t>
  </si>
  <si>
    <t xml:space="preserve">APP should  display XXX page with Add Switchboard  button text as "Add Switchboard " </t>
  </si>
  <si>
    <t>Clicking "Add Switchboard " button app navigate the user to "Switch the device into pairing Mode page"</t>
  </si>
  <si>
    <t>APP should navigate the user to "Switch the device into pairing Mode" page after clicking Add Switchboard  button.</t>
  </si>
  <si>
    <t>Add_Switchboard_TC_02</t>
  </si>
  <si>
    <t>Precondition:System theme toggled
Open pairing and progress screens across states</t>
  </si>
  <si>
    <t>Colors/contrast adapt; no readability loss; icons/text visible</t>
  </si>
  <si>
    <t>Precondition:System font size large
Open pairing flows</t>
  </si>
  <si>
    <t>Layout adapts; no truncation/overlap; buttons tappable</t>
  </si>
  <si>
    <t>Add_Switchboard_TC_03</t>
  </si>
  <si>
    <t>Next Page</t>
  </si>
  <si>
    <t>Verify "Next" button is working only if we enable "Device is in Pairing mode" tick box</t>
  </si>
  <si>
    <t>If Pairing  mode is disabled, Next button should not enabled
If Pairing mode is enabled, Next button should enabled</t>
  </si>
  <si>
    <t>Add_Switchboard_TC_04</t>
  </si>
  <si>
    <t>1.Verify ""Switch the device into Pairing Mode"" content
 2.Check the text in Next PAGE button</t>
  </si>
  <si>
    <t>- Heading should be center &amp; proper format
 - Body of content should be properly alliged 
 - Note content should be properly alliged
 - ""Next"" text should be placed in the button</t>
  </si>
  <si>
    <t>Add_Switchboard_TC_05</t>
  </si>
  <si>
    <t>Verify "Device Press" image</t>
  </si>
  <si>
    <t>- Check "Device Press" hd image included
 - Check image is not hidden or disappears</t>
  </si>
  <si>
    <t>Add_Switchboard_TC_06</t>
  </si>
  <si>
    <t>Verify "Next" button UI</t>
  </si>
  <si>
    <t>"Next" icon text should not be hidden
 "Next" icon should not be in abnormal state</t>
  </si>
  <si>
    <t>Add_Switchboard_TC_07</t>
  </si>
  <si>
    <t>Clicking Next button app navigate the user to "Start Pairing" Page.</t>
  </si>
  <si>
    <t>APP should navigate the user to "Start Pairing" Page after clicking Next Button .</t>
  </si>
  <si>
    <t>Add_Switchboard_TC_08</t>
  </si>
  <si>
    <t>Start Pairing Page</t>
  </si>
  <si>
    <t>In Start Pairing Page, Check the page content</t>
  </si>
  <si>
    <t>;- Heading should be center &amp; proper format
 - Body of content should be properly alliged 
 - Note content should be properly alliged
 - ""Start Pairing"" text should be placed in the button</t>
  </si>
  <si>
    <t>Add_Switchboard_TC_09</t>
  </si>
  <si>
    <t>Verify "Start Pairing" button UI</t>
  </si>
  <si>
    <t>"Start Pairing" icon text should not be hidden
 "Start Pairing" icon should not be in Abnormal state</t>
  </si>
  <si>
    <t>Add_Switchboard_TC_10</t>
  </si>
  <si>
    <t>Clicking Start Pairing button app navigate the user to "Pairing page" and shows location permission pop up</t>
  </si>
  <si>
    <t>APP should navigate the user to "Pairing page" and shows location permission pop up after clicking Start pairing button</t>
  </si>
  <si>
    <t>Add_Switchboard_TC_11</t>
  </si>
  <si>
    <t>Location Permission</t>
  </si>
  <si>
    <t>While APP asking for location permission in pairing process, give "Don't Allow" to check whether APP shows "Location Services" pop up or not</t>
  </si>
  <si>
    <t>After giving "Don't Allow", APP should not initiate pairing and show "Location Services" pop-up</t>
  </si>
  <si>
    <t>Add_Switchboard_TC_12</t>
  </si>
  <si>
    <t>Now Click "SETTINGS" on "Location Services" pop up and check APP navigate to APP info page and Didn't select any other option go back, app navigate to add device page.</t>
  </si>
  <si>
    <t>APP navigate to APP info page and Didn't select any other option go back, app navigate to add device page.</t>
  </si>
  <si>
    <t>Add_Switchboard_TC_13</t>
  </si>
  <si>
    <t>1. Go to APP info and provide "Clear all data"
 2. Initiate the pairing procedure and provide "DONT ALLOW" during Location permission
 3. In "Location Services" pop up, give "cancel" button to check the app behaviour</t>
  </si>
  <si>
    <t>1. Clear all data should work
 2. Cancel button should work
 3. After cancel APP should navigate to "ADD DEVICE" page</t>
  </si>
  <si>
    <t>Add_Switchboard_TC_14</t>
  </si>
  <si>
    <t>- Applicable from Android12 version
 1. Go to APP info and provide "Clear all data"
 2. Initiate the pairing procedure and provide "ONLY THIS TIME" during Location permission</t>
  </si>
  <si>
    <t>1. Clear all data should work
 2. After giving only this time, app should moves to ask for Nearby device permission</t>
  </si>
  <si>
    <t>Add_Switchboard_TC_15</t>
  </si>
  <si>
    <t>- Applicable from Android12 version
 1. Within 2mins of above test, close the application and re-open 
 2. Initiate the pairing procedure and provide "ONLY THIS TIME" during Location permission to check whether paring is initiated or not</t>
  </si>
  <si>
    <t>1. After giving only this time, app should moves to ask for Nearby device permission or if Nearby device permission is already given it should proceed to paring,
 2. APP should not throw any issue related to location during pairing</t>
  </si>
  <si>
    <t>Add_Switchboard_TC_16</t>
  </si>
  <si>
    <t>- Applicable from Android12 version
 1. After completion of above test wait for 5mins then close the application and re-open 
 2. Initiate the pairing procedure and provide "ONLY THIS TIME" during Location permission to check whether paring is initiated or not</t>
  </si>
  <si>
    <t>1. After giving only this time, app should ask for Location permission again</t>
  </si>
  <si>
    <t>Add_Switchboard_TC_17</t>
  </si>
  <si>
    <t>1. Initiate the pairing procedure and provide "WHILE USING THE APP" during Location permission to check whether paring is initiated or not</t>
  </si>
  <si>
    <t>1. After giving "WHILE USING THE APP", app should moves to ask for Nearby device permission or if Nearby device permission is already given it should proceed to paring,
 2. APP should not throw any issue related to location during pairing</t>
  </si>
  <si>
    <t>Add_Switchboard_TC_18</t>
  </si>
  <si>
    <t>1. Give "While Using the APP" permission
 2. Close the APP
 3. Disable location service using APP INFO
 4. Try to initiate pairing procedure
 5. Check whether Location disabled error pop-up thrown and APP takes us to setting page to enable location service</t>
  </si>
  <si>
    <t>1.After initiating pairing procedure, APP should show location related failure pop-up
 2. And takes user to setting page to enable location service</t>
  </si>
  <si>
    <t>Add_Switchboard_TC_19</t>
  </si>
  <si>
    <t>1. Go to APP info and provide "Clear all data"
 2. Initiate the pairing procedure and provide "WHILE USING THE APP" during Location permission &amp; select Precise location as OFF
 3. After step2, check APP proceed with pairing procedure</t>
  </si>
  <si>
    <t>1. Clear all data should work
 2. APP should proceed to decrease the pairing count even after giving precise location as OFF
 3. APP should not crash or struck at any time</t>
  </si>
  <si>
    <t>Add_Switchboard_TC_20</t>
  </si>
  <si>
    <t>Nearby Device Permission</t>
  </si>
  <si>
    <t>- Applicable from Android11 version
 1. Go to APP info and provide "Clear all data"
 2. Initiate the pairing procedure and provide "ONLY THIS TIME" during Location permission
 3. While APP asking for Nearby Device Permission, give "Don't Allow" and check APP behaviour</t>
  </si>
  <si>
    <t>After giving "Don't Allow" APP should pop-up the "Allow Bluetooth Connections"</t>
  </si>
  <si>
    <t>Add_Switchboard_TC_21</t>
  </si>
  <si>
    <t>Now Click "SETTINGS" on "Allow Bluetooth Connection" pop up and check APP navigate to APP info page and Didn't select any other option go back, app navigate to add device page.</t>
  </si>
  <si>
    <t>Add_Switchboard_TC_22</t>
  </si>
  <si>
    <t>1. Go to APP info and provide "Clear all data"
 2. Initiate the pairing procedure and provide "While Using this APP" during Location permission
 3. While APP asking for Nearby Device Permission, give "Don't Allow" 
 4. In "Allow Bluetooth Connection" pop-up give "Cancel" button</t>
  </si>
  <si>
    <t>APP should not throw any error and close the "Allow Bluetooth Connection" pop-up and moves to "ADD DEVICE" page</t>
  </si>
  <si>
    <t>Add_Switchboard_TC_23</t>
  </si>
  <si>
    <t>1. Go to APP info and provide "Clear all data"
 2. Initiate the pairing procedure and provide "While Using this APP" during Location permission
 3. While APP asking for Nearby Device Permission, give "Allow" to check the APP behaviour</t>
  </si>
  <si>
    <t>APP should not show Nearby Device permission related failure during Pairing</t>
  </si>
  <si>
    <t>Add_Switchboard_TC_24</t>
  </si>
  <si>
    <t>1. Give Allow access to Nearby Share
 2. Close the APP
 3. Turn off Bluetooth
 4. Re-open the APP
 5. Try to initiate pairing procedure</t>
  </si>
  <si>
    <t>APP should not show any Nearby Device permission related failure during Pairing and ask user to Turn ON the Bluetooth</t>
  </si>
  <si>
    <t>Add_Switchboard_TC_25</t>
  </si>
  <si>
    <t>Ble and Wifi Turn on process</t>
  </si>
  <si>
    <t>1. Keep Wi-Fi and BLE turn OFF state in Mobile
 2. Open the app and initate the paring procdure to check whether APP shows "allow Caaza to access this device`s location" pop up or not</t>
  </si>
  <si>
    <t>app should show ""allow CaaZa to access this device`s location" pop up with "allow only while using the app" and "deny" button</t>
  </si>
  <si>
    <t>Add_Switchboard_TC_26</t>
  </si>
  <si>
    <t>1. Keep Wi-Fi and BLE turn OFF state in Mobile
 2. Open the app and initate the paring procdure to check whether APP shows "Turn ON BLE" pop up or not</t>
  </si>
  <si>
    <t>App should show "Turn ON BLE" pop up" with "OK" and "CANCEL" button's</t>
  </si>
  <si>
    <t>Add_Switchboard_TC_27</t>
  </si>
  <si>
    <t>In "Turn ON BLE" pop up, click on CANCEL to check whether app show "Turn ON WiFi" pop up or not</t>
  </si>
  <si>
    <t>App should show "Turn ON WiFi" pop-up with "OK" and "CANCEL" button's</t>
  </si>
  <si>
    <t>Add_Switchboard_TC_28</t>
  </si>
  <si>
    <t>In "Turn ON WiFi" pop up, click on CANCEL to check whether pairing cancel and navigate the user to add device page.</t>
  </si>
  <si>
    <t>APP should navigate the user to add device page and show "To Proceed Pairing Bluetooth or WiFI must be Turned ON"</t>
  </si>
  <si>
    <t>Add_Switchboard_TC_29</t>
  </si>
  <si>
    <t>1. Keep Wi-Fi and BLE turn OFF state in Mobile
 2. Open the app and initate the paring procedure to check whether APP shows "Turn ON BLE" pop up or not
 3. In "Turn On BLE" pop up, click on OK to check whether APP shows "Turn ON WiFi" pop up or not</t>
  </si>
  <si>
    <t>APP should shows "Turn ON WiFi" pop up while after give ok in "Turn On BLE" pop up.</t>
  </si>
  <si>
    <t>Add_Switchboard_TC_30</t>
  </si>
  <si>
    <t>1. After above test completion, In "Turn On WiFI" pop up, click on OK to check whether APP takes user to WiFi page or not</t>
  </si>
  <si>
    <t>1. App should take user to Wi-Fi page, after connected to WiFi
 2. Comeback to APP confirm Pairing proceeded or not</t>
  </si>
  <si>
    <t>Add_Switchboard_TC_31</t>
  </si>
  <si>
    <t>Pairing Window - "Pairing process"</t>
  </si>
  <si>
    <t>1. Keep Wi-Fi and BLE turn OFF state in Mobile
 2. Open the app and initate the paring procdure to check whether APP shows "Turn ON BLE" pop up or not
 3. In "Turn On BLE" pop up, click on CANCEL to check whether APP shows "Turn ON WiFi" pop up or not
 4. In "Turn ON WiFi" pop up, click on OK to check whether APP takes to WiFi page or not
 5. After connecting to WiFI check its proceed to pairing procedure or not</t>
  </si>
  <si>
    <t>1. After step4, APP should takes user to WiFi page
 2. After connecting to WiFi APP should proceed with pairing procedure (Pairing timer should be running) 
 3. APP should not struck at any step or show black screen at any time</t>
  </si>
  <si>
    <t>Add_Switchboard_TC_32</t>
  </si>
  <si>
    <t>After precondition process, APP show ask for Router password if Wi-Fi is enabled</t>
  </si>
  <si>
    <t>APP should ask for Router password alert if user connect with router</t>
  </si>
  <si>
    <t>Preconditions:Wrong password or router out of range
Enter invalid password OR power off router mid-process</t>
  </si>
  <si>
    <t>App surfaces clear error reason (auth fail or router unreachable); suggests re-pair; device returns to pairing mode</t>
  </si>
  <si>
    <t>Add_Switchboard_TC_33</t>
  </si>
  <si>
    <t>1. While app shows router credential pop up click back (Mobile back button or swipe) 
  2. APP should take that back button as cancel and it should not show any other pop-up overlaying current pop-up</t>
  </si>
  <si>
    <t>APP should cancel the pop up and take the user for pairing process or not to close the current pop up if user click back</t>
  </si>
  <si>
    <t>Add_Switchboard_TC_34</t>
  </si>
  <si>
    <t>1. Check after entering password, "Show Password" option is working or not
2. Check during password enter any background texts are getting overlapped or hidden</t>
  </si>
  <si>
    <t>1. If you enable "Show Pasword", password should be visible, if we disable it should not be visible
2. During password enter, background text should be visible all the time and it should not get overlapped with any other text</t>
  </si>
  <si>
    <t>Add_Switchboard_TC_35</t>
  </si>
  <si>
    <t>If user cancel the password alert ,check APP start pairing with device in without router mode.</t>
  </si>
  <si>
    <t>APP should start pairing procedure with Bluetooth</t>
  </si>
  <si>
    <t>Add_Switchboard_TC_36</t>
  </si>
  <si>
    <t>While pairing time app shows "Please Don't lock or put your mobile in the background while pairing"</t>
  </si>
  <si>
    <t>app should show "Please Don't lock or put your mobile in the background while pairing"</t>
  </si>
  <si>
    <t>Add_Switchboard_TC_37</t>
  </si>
  <si>
    <t>After precondition process, clicking "Start Pairing" button and giving WiFi password, APP shows proper descriptions</t>
  </si>
  <si>
    <t>App should Start the ble with router pairing process after give password in wifi password alert.</t>
  </si>
  <si>
    <t>Add_Switchboard_TC_38</t>
  </si>
  <si>
    <t>While app shows router credential pop up user wanted to connect to a router without password, user has to click on "Enter" without enter anything on password text box, check whether app show "Are you sure that (router name) has no password" pop up</t>
  </si>
  <si>
    <t>APP should shows "Are you sure that (router name) has no password" pop up</t>
  </si>
  <si>
    <t>Add_Switchboard_TC_39</t>
  </si>
  <si>
    <t>If user clicks "NO" button during "Are you sure that (router name) has no password" pop up, check whether APP again ask for router password</t>
  </si>
  <si>
    <t>APP should again ask for router password</t>
  </si>
  <si>
    <t>Add_Switchboard_TC_40</t>
  </si>
  <si>
    <t>If user clicks "YES" button during "Are you sure that (router name) has no password" pop up, check whether APP again ask for router password</t>
  </si>
  <si>
    <t>APP should proceed to pairing procedure</t>
  </si>
  <si>
    <t>Add_Switchboard_TC_41</t>
  </si>
  <si>
    <t>If user connected 5GHz router, after user clicks on start pairing check whether APP shows 5GHz not supported pop up</t>
  </si>
  <si>
    <t>App should show a popup saying device does not support 5GHz rounter "Can't connect with 5G router"</t>
  </si>
  <si>
    <t>Add_Switchboard_TC_42</t>
  </si>
  <si>
    <t>During "Can't connect with 5G router" pop up if user clicks on cancel button, check whether APP proceed to pairing or not</t>
  </si>
  <si>
    <t>After clicking on "Cancel" APP should proceed to pairing without router mode</t>
  </si>
  <si>
    <t>Add_Switchboard_TC_43</t>
  </si>
  <si>
    <t>After clicking "Start Pairing" button, APP shows proper descriptions</t>
  </si>
  <si>
    <t>APP should show "Please Don't lock or put your mobile in the background while pairing" description text.
 This text shold not be overlapped with other text or pop-up</t>
  </si>
  <si>
    <t>Precondition:SSID with special characters/Unicode
2.4GHz router with SSID 'Tëßt-2G_汉字' and password 'P@ßwørd!2025'
1.Pair using BLE with Router</t>
  </si>
  <si>
    <t>Credentials handled correctly; device joins</t>
  </si>
  <si>
    <t>Precondition:Pairing in progress
Background app for 10s; return</t>
  </si>
  <si>
    <t>Process resumes or shows safe recovery without corruption</t>
  </si>
  <si>
    <t>Precondition:Pairing in progress
Force-stop app mid-process</t>
  </si>
  <si>
    <t xml:space="preserve">Relaunch app ,Add device page should display to user </t>
  </si>
  <si>
    <t>Precondition:Start pairing
Lock device screen for 30s; unlock</t>
  </si>
  <si>
    <t>No crash; progress preserved or safe retry shown</t>
  </si>
  <si>
    <t>Add_Switchboard_TC_44</t>
  </si>
  <si>
    <t>After clicking "Start Pairing" Check timer started or not</t>
  </si>
  <si>
    <t>Timer should start to run from 180 seconds</t>
  </si>
  <si>
    <t>Add_Switchboard_TC_45</t>
  </si>
  <si>
    <t>Wait for timeout after below 180 seconds and see APP asks for Retry or Cancel</t>
  </si>
  <si>
    <t>APP should ask for Retry or Cancel only after completion of timeout</t>
  </si>
  <si>
    <t>Add_Switchboard_TC_46</t>
  </si>
  <si>
    <t>If user gives "Cancel"after timeout, check APP ask for Exit pairing confirmation</t>
  </si>
  <si>
    <t>APP should ask for Exit Pairing window if user clicks on "Cancel"</t>
  </si>
  <si>
    <t>Add_Switchboard_TC_47</t>
  </si>
  <si>
    <t>If user gives "Cancel"in Exit Pairing window APP sould not go back to "Add Device" Window</t>
  </si>
  <si>
    <t>APP should show Pairing timeout window</t>
  </si>
  <si>
    <t>Add_Switchboard_TC_48</t>
  </si>
  <si>
    <t>After the precondition process if user gives "OK"in Exit Pairing window APP should go back to "Add Device" Window</t>
  </si>
  <si>
    <t>APP should go back to "Add Device" window</t>
  </si>
  <si>
    <t>Add_Switchboard_TC_49</t>
  </si>
  <si>
    <t>1. Check once user gives "Retry" in Pairing Timeout window APP go back to "Switch the device into pairing Mode" Page.
2. After giving retry please check whether BLE and WiFi status is getting checked again or not by keeping BLE &amp; WIFI in OFF state</t>
  </si>
  <si>
    <t>1. APP should go back to "Switch the device into pairing Mode" Page.
2. During Retry pairing time, it should check whether BLE &amp; WiFI is turned ON or not</t>
  </si>
  <si>
    <t>Add_Switchboard_TC_50</t>
  </si>
  <si>
    <t>Select and start Bluetooth Pairing mode, before pairing cancel the pairing and wait in "ADD DEVICE" window for 3mins to observe any unwanted toast shown or not</t>
  </si>
  <si>
    <t>After canceling Bluetooth pairing mode, device should not show any unwanted toast message</t>
  </si>
  <si>
    <t>Add_Switchboard_TC_51</t>
  </si>
  <si>
    <t>After the precondition of Turn off ble and wifi , If user cancel the password and cancel the bluetooth alert check APP starts smartconfig timeout.</t>
  </si>
  <si>
    <t>after 100 secs completed,check app shows "Please connect manually" pop up or not.</t>
  </si>
  <si>
    <t>Add_Switchboard_TC_52</t>
  </si>
  <si>
    <t>If user cancel the password alert after clicking on "WiFi" pairing mode, check what happens after Smartconfig timeout when device is in pairing mode</t>
  </si>
  <si>
    <t>After Smartconfig timeout (100 secs), APP should show device SSID connect pop up</t>
  </si>
  <si>
    <t>Add_Switchboard_TC_53</t>
  </si>
  <si>
    <t>If user cancel the password alert after clicking on "WiFi" pairing mode, check what happens after Smartconfig timeout when device is not in pairing mode</t>
  </si>
  <si>
    <t>After Smartconfig timeout (100 secs), APP should complete timer before showing retry</t>
  </si>
  <si>
    <t>Add_Switchboard_TC_54</t>
  </si>
  <si>
    <t>After selecting "WiFi" pairing mode and giving WiFi password, check APP starts device SSID scan after 60secs</t>
  </si>
  <si>
    <t>APP should start device SSID scan after 60secs i.e. around 120 secs</t>
  </si>
  <si>
    <t>Add_Switchboard_TC_55</t>
  </si>
  <si>
    <t>Ble without pairing process secs is 180, after 180 only the app shows retry page.</t>
  </si>
  <si>
    <t>APP should show retry page after 180 secs of pairing time.it may or may not throw proper toast message 
 If APP goes to retry page before 180secs, it may or may not throw proper toast message (reason for early retry)</t>
  </si>
  <si>
    <t>Add_Switchboard_TC_56</t>
  </si>
  <si>
    <t>Verification failed pop up</t>
  </si>
  <si>
    <t>On verifying CAAZA… Page, app shows a "Note : Please Don't lock or put your mobile in the background while pairing"</t>
  </si>
  <si>
    <t>app should show the verifying CaaZa… page text as "Note : Please Don't lock or put your mobile in the background while pairing"</t>
  </si>
  <si>
    <t>Add_Switchboard_TC_57</t>
  </si>
  <si>
    <t>While pairing verifying CAAZA page, power off the device and check the proper pop up shows in Application</t>
  </si>
  <si>
    <t>APP should show the "Proper Pop up should be thrown to user." while power off the device in verifying CaaZa page.
 APP should not stuck at verifying CaaZa page</t>
  </si>
  <si>
    <t>Add_Switchboard_TC_58</t>
  </si>
  <si>
    <t>1. While pairing verifying CaaZa page, power off the device and wait for Verification failed pop up then power on the device and check navigate to CaaZa info page after clicking ON on Verification Failure pop-up
 2. After moving to CaaZa UI, please verify the device name in CaaZa page, Schedule page, Notification page, Analytics page</t>
  </si>
  <si>
    <t>1. After power ON and clicking ON on verfication failure pop-up, APP should navigates to CaaZa Info page
 2. Device name should be visible in CaaZa page, Schedule page, Notification page, Analytics page but it should not show serial number at any page</t>
  </si>
  <si>
    <t>Add_Switchboard_TC_59</t>
  </si>
  <si>
    <t>Invalid Pairing</t>
  </si>
  <si>
    <t>Validate behavior when both Wi-Fi and Bluetooth are OFF before pairing</t>
  </si>
  <si>
    <t>1. Turn OFF Wi-Fi and Bluetooth on mobile
2. Open App → Tap on any Room
3. Click Next to go to Start Pairing page
4. Tap Start Pairing
5. Tap Cancel on “Turn on Wi-Fi” popup
6. Tap Cancel on “Turn on Bluetooth” popup.</t>
  </si>
  <si>
    <t>Error message displayed: “Enable either Bluetooth or Wi-Fi to continue pairing and try again.”</t>
  </si>
  <si>
    <t>Stress Test – 20 Consecutive Pairings</t>
  </si>
  <si>
    <t>1. Successfully pair/unpair device 20 times in a row</t>
  </si>
  <si>
    <t>App/device does not crash or lag;
No memory or connection errors</t>
  </si>
  <si>
    <t>PAIRING_MOD_1_TC_01</t>
  </si>
  <si>
    <t>WiFi With Router</t>
  </si>
  <si>
    <t>Initial Pairing with Android Version 8.1.0</t>
  </si>
  <si>
    <t>1.Initiate pairing with Android 8.1.0 mobile phones, such as the Oppo A5s.
 2.Check whether APP pair with device in within Excepted Time .</t>
  </si>
  <si>
    <t>1. Pairing should be initiated
 2. APP should pair with device within Excepted Time
 3. Verification failure should not be observed</t>
  </si>
  <si>
    <t>PAIRING_MOD_1_TC_02</t>
  </si>
  <si>
    <t>Initial Pairing with Android Version 9</t>
  </si>
  <si>
    <t>1.Initiate pairing with Android 9 mobile phones, such as the Itel A25.
 2.Check whether APP pair with device in within Excepted Time .</t>
  </si>
  <si>
    <t>PAIRING_MOD_1_TC_03</t>
  </si>
  <si>
    <t>Initial Pairing with Android Version 10</t>
  </si>
  <si>
    <t>1.Initiate pairing with Android 10 mobile phones, such as the Samsung Galaxy A6+
 2.Check whether APP pair with device in within Excepted Time .</t>
  </si>
  <si>
    <t>PAIRING_MOD_1_TC_04</t>
  </si>
  <si>
    <t>Initial Pairing with Android Version 11</t>
  </si>
  <si>
    <t>1.Initiate pairing with Android 11 mobile phones, such as the Realme C3
 2.Check whether APP pair with device in within Excepted Time .</t>
  </si>
  <si>
    <t>PAIRING_MOD_1_TC_05</t>
  </si>
  <si>
    <t>Initial Pairing with Android Version 12</t>
  </si>
  <si>
    <t>1.Initiate pairing with Android 12 mobile phones, such as the One Plus Nord N200 5G,
 2.Check whether APP pair with device in within Excepted Time .</t>
  </si>
  <si>
    <t>PAIRING_MOD_1_TC_06</t>
  </si>
  <si>
    <t>Initial Pairing with Android Version 13</t>
  </si>
  <si>
    <t>1.Initiate pairing with Android 13 mobile phones, such as the Motorola E13 or Google Pixel 4 or iqoo Z6 Lite 5G
 2.Check whether APP pair with device in within Excepted Time .</t>
  </si>
  <si>
    <t>PAIRING_MOD_1_TC_07</t>
  </si>
  <si>
    <t>Initial Pairing</t>
  </si>
  <si>
    <t>1. Wifi with router pairing process is start after 100 secs and shows the device id (iinv_Smartpanel XX) for connect then app show any pop up or not
 2.Check when Click Connect Manually pop wants to enter Password for (iinv_Smartpanel XX) eg :(mypassword)
 2. after moved to verification page check connectivity Establish or not</t>
  </si>
  <si>
    <t>1. APP should show device id iinv_Smartpanel  XX to connect with device for pairing app should through "connect manually" pop up
 2.After Given Password connectivity shoud established.
 3.Verification failed should not occur</t>
  </si>
  <si>
    <t>PAIRING_MOD_1_TC_08</t>
  </si>
  <si>
    <t>Check whether APP pair with device in after SmartConfig timeout</t>
  </si>
  <si>
    <t>APP should pair with device after 100secs</t>
  </si>
  <si>
    <t>PAIRING_MOD_1_TC_09</t>
  </si>
  <si>
    <t>2nd Attempt Pairing</t>
  </si>
  <si>
    <t>1. Initiate pairing sequence 
 2. Cancel the pairing sequence within 2secs
 3. Again re-initiate the pairing sequence after 15secs 
 4. Check whether APP paired with device or not</t>
  </si>
  <si>
    <t>1. Pairing should be initiated
 2. Cancelling pairing should work
 3. APP should allow user to re-initiate the pairing again 
 4. APP should pair with device during 2nd attempt
 5..Verification failed should not occur</t>
  </si>
  <si>
    <t>PAIRING_MOD_1_TC_10</t>
  </si>
  <si>
    <t>Pairing in Airplane Mode</t>
  </si>
  <si>
    <t>1. Place the mobile in Airplane mode 
 2. Initiate pairing sequence 
 3. Check whether APP paired with device or not</t>
  </si>
  <si>
    <t>APP should not pair with device and shows "Please Turn OFF Airplane Mode "</t>
  </si>
  <si>
    <t>PAIRING_MOD_1_TC_11</t>
  </si>
  <si>
    <t>Factory Reset and Pairing</t>
  </si>
  <si>
    <t>1. Pair to the device 
 2. Do Factory reset 
 3. Check device goes to pairing mode again
 4. Check APP is getting successful again</t>
  </si>
  <si>
    <t>1. Factory reset should work
 2. Device should go to pairing mode after factory reset
 2. Pairing after device removal should work</t>
  </si>
  <si>
    <t>PAIRING_MOD_1_TC_12</t>
  </si>
  <si>
    <t>Remove Device and Pairing</t>
  </si>
  <si>
    <t>1. Pair to the device 
 2. Remove the device
 3. Check device goes to pairing mode again
 4. Check APP is getting successful again</t>
  </si>
  <si>
    <t>1. Device removal should work
 2. Device should go to pairing mode after device removal
 3. Pairing after device removal should work</t>
  </si>
  <si>
    <t>PAIRING_MOD_1_TC_13</t>
  </si>
  <si>
    <t>Remove Device, Logout, Login and Pairing</t>
  </si>
  <si>
    <t>1. Pair to the device 
 2. Remove the device
 3. Check device goes to pairing mode again
 4. Logout from current user
 5. Again login to same user 
 6. Check APP is getting successful again</t>
  </si>
  <si>
    <t>1. Device removal should work
 2. Device should go to pairing mode after device removal
 3. Logout and Login should work
 4. Pairing should work after logout and login</t>
  </si>
  <si>
    <t>PAIRING_MOD_1_TC_14</t>
  </si>
  <si>
    <t>Device Power ON/OFF during Pairing</t>
  </si>
  <si>
    <t>After initiating Pairing sequence, power OFF/ON device before time out to check APP paired to the device without any issue</t>
  </si>
  <si>
    <t>APP should complete the pairing procedure after device ON/OFF
 or 
 APP should goes to Retry page and Device should be in Pairing mode</t>
  </si>
  <si>
    <t>PAIRING_MOD_1_TC_15</t>
  </si>
  <si>
    <t>Exit Pairing
 (OK)</t>
  </si>
  <si>
    <t>After initiating Pairing sequence, click on Back button before pairing success, and click "Ok" on exit pairing</t>
  </si>
  <si>
    <t>APP goes to add device pairing page</t>
  </si>
  <si>
    <t>PAIRING_MOD_1_TC_16</t>
  </si>
  <si>
    <t>Exit Pairing
 (Cancel)</t>
  </si>
  <si>
    <t>After initiating Pairing sequence, click on Back button before pairing success, and click "Cancel" on exit pairing</t>
  </si>
  <si>
    <t>APP should complete the pairing procedure</t>
  </si>
  <si>
    <t>PAIRING_MOD_1_TC_17</t>
  </si>
  <si>
    <t>Exit Pairing
 Timeout</t>
  </si>
  <si>
    <t>After initiating Pairing sequence, click on Back buttong but don't clicking "Cancel" or "OK" in "Exit pairing" pop up for 30secs and check whether app paired with device or not</t>
  </si>
  <si>
    <t>APP should pair with device</t>
  </si>
  <si>
    <t>PAIRING_MOD_2_TC_01</t>
  </si>
  <si>
    <t>BLE With Router</t>
  </si>
  <si>
    <t>Validate behavior when both Wi-Fi and Bluetooth are ON before pairing</t>
  </si>
  <si>
    <t xml:space="preserve">Precondition:ESP32 powered on
2.4GHz router
1. Turn ON Wi-Fi and Bluetooth on mobile
2. Open App → Tap on any Room
3. Click Next to go to Start Pairing page
4. Tap Start Pairing
5.Put ESP32 in pairing mode
6. Enter the correct SSID password and click the ok button.
</t>
  </si>
  <si>
    <t>1.BLE with router pairing should be initiated without any issue
2.Device pairs in under 60s, confirmed in app, device status shown “Online”, user moves to device addition page</t>
  </si>
  <si>
    <t>PAIRING_MOD_2_TC_02</t>
  </si>
  <si>
    <t xml:space="preserve">
1.Initiate pairing with Android 8.1.0 mobile phones, such as the Oppo A5s.
2.Check whether APP pair with device in within Excepted Time .</t>
  </si>
  <si>
    <t>1. Pairing should be initiated
2. APP should pair with device within Excepted Time
3. Verification failure should not be observed</t>
  </si>
  <si>
    <t>PAIRING_MOD_2_TC_03</t>
  </si>
  <si>
    <t xml:space="preserve">
1.Initiate pairing with Android 9 mobile phones, such as the Itel A25.
2.Check whether APP pair with device in within Excepted Time .</t>
  </si>
  <si>
    <t>PAIRING_MOD_2_TC_04</t>
  </si>
  <si>
    <t xml:space="preserve">
1.Initiate pairing with Android 10 mobile phones, such as the Samsung Galaxy A6+
2.Check whether APP pair with device in within Excepted Time .</t>
  </si>
  <si>
    <t>PAIRING_MOD_2_TC_05</t>
  </si>
  <si>
    <t xml:space="preserve">
1.Initiate pairing with Android 11 mobile phones, such as the Realme C3
2.Check whether APP pair with device in within Excepted Time .</t>
  </si>
  <si>
    <t>PAIRING_MOD_2_TC_06</t>
  </si>
  <si>
    <t xml:space="preserve">
1.Initiate pairing with Android 12 mobile phones, such as the One Plus Nord N200 5G,
2.Check whether APP pair with device in within Excepted Time .</t>
  </si>
  <si>
    <t>PAIRING_MOD_2_TC_07</t>
  </si>
  <si>
    <t xml:space="preserve">
1.Initiate pairing with Android 13 mobile phones, such as the Motorola E13 or Google Pixel 4 or iqoo Z6 Lite 5G
2.Check whether APP pair with device in within Excepted Time .</t>
  </si>
  <si>
    <t>PAIRING_MOD_2_TC_08</t>
  </si>
  <si>
    <t>Pairing without Providing Password</t>
  </si>
  <si>
    <t>If user cancel the password alert, check whether APP start to pair with device in ble without router mode.</t>
  </si>
  <si>
    <t>APP should pair with device in within 10 to 20 secs</t>
  </si>
  <si>
    <t>PAIRING_MOD_2_TC_09</t>
  </si>
  <si>
    <t>Pairing after Providing Incorrect Password</t>
  </si>
  <si>
    <t>If user enter incorrect, APP should start to pair with device in ble without router mode.</t>
  </si>
  <si>
    <t>PAIRING_MOD_2_TC_10</t>
  </si>
  <si>
    <t>Pairing after Providing Password</t>
  </si>
  <si>
    <t>If user enter correct password check app paired with device  within 10 to 20 secs</t>
  </si>
  <si>
    <t>PAIRING_MOD_2_TC_11</t>
  </si>
  <si>
    <t>1. Initiate pairing sequence 
2. Cancel the pairing sequence within 2secs
3. Again re-initiate the pairing sequence after 15secs 
4. Check whether APP paired with device or not</t>
  </si>
  <si>
    <t>1. Pairing should be initiated
2. Cancelling pairing should work
3. APP should allow user to re-initiate the pairing again 
4. APP should pair with device during 2nd attempt</t>
  </si>
  <si>
    <t>PAIRING_MOD_2_TC_12</t>
  </si>
  <si>
    <t>1. Place the mobile in Airplane mode 
2. Initiate pairing sequence 
3. Check whether APP paired with device or not</t>
  </si>
  <si>
    <t>PAIRING_MOD_2_TC_13</t>
  </si>
  <si>
    <t>1. Pair to the device 
2. Do Factory reset 
3. Check device goes to pairing mode again
4. Check APP is getting successful again</t>
  </si>
  <si>
    <t>1. Factory reset should work only if it’s a admin user
2. Device should go to pairing mode after factory reset
3. Pairing after factory reset should work</t>
  </si>
  <si>
    <t>PAIRING_MOD_2_TC_14</t>
  </si>
  <si>
    <t>1. Pair to the device 
2. Remove the device
3. Check device goes to pairing mode again
4. Check APP is getting successful again</t>
  </si>
  <si>
    <t>1. Device removal should work
2. Device should go to pairing mode after device removal only if it’s a admin user
3. Pairing after device removal should work</t>
  </si>
  <si>
    <t>PAIRING_MOD_2_TC_15</t>
  </si>
  <si>
    <t>1. Pair to the device 
2. Remove the device
3. Check device goes to pairing mode again
4. Logout from current user
5. Again login to same user 
6. Check APP is getting successful again</t>
  </si>
  <si>
    <t>1. Device removal should work
2. Device should go to pairing mode after device removal only if it’s a admin user
3. Logout and Login should work
4. Pairing should work after logout and login</t>
  </si>
  <si>
    <t>PAIRING_MOD_2_TC_16</t>
  </si>
  <si>
    <t>After entering Wi-Fi password and initiating Pairing sequence, power OFF/ON device before time out to check APP paired to the device without any issue</t>
  </si>
  <si>
    <t>APP should complete the pairing procedure after device ON/OFF</t>
  </si>
  <si>
    <t>PAIRING_MOD_2_TC_17</t>
  </si>
  <si>
    <t>Exit Pairing
(OK)</t>
  </si>
  <si>
    <t xml:space="preserve">After entering Wi-Fi password and initiating Pairing sequence, click on Back button before pairing success, and click "Ok" on exit pairing </t>
  </si>
  <si>
    <t>APP should go to add device pairing page</t>
  </si>
  <si>
    <t>PAIRING_MOD_2_TC_18</t>
  </si>
  <si>
    <t>Exit Pairing
(Cancel)</t>
  </si>
  <si>
    <t xml:space="preserve">After entering Wi-Fi password and initiating Pairing sequence, click on Back button before pairing success, and click "Cancel" on exit pairing </t>
  </si>
  <si>
    <t>PAIRING_MOD_2_TC_19</t>
  </si>
  <si>
    <t>Exit Pairing
Timeout</t>
  </si>
  <si>
    <t>After entering Wi-Fi password and initiating Pairing sequence, click on Back buttong but don't  clicking "Cancel" or "OK" in "Exit pairing" pop up for 30secs and  check whether app paired with device or not</t>
  </si>
  <si>
    <t>PAIRING_MOD_3_TC_01</t>
  </si>
  <si>
    <t>SmartConfig</t>
  </si>
  <si>
    <t>Validate behavior when turn ON the Wi-Fi and  turn OFF the Bluetooth are before pairing</t>
  </si>
  <si>
    <t>1. Turn ON Wi-Fi and  turn OFF the Bluetooth on mobile
2. Open App → Tap on any Room
3. Click Next to go to Start Pairing page
4. Tap Start Pairing
5. Tap Cancel on “Turn on Bluetooth” popup.
6.Put ESP32 in pairing mode
7. Enter the correct SSID password and click the ok button.</t>
  </si>
  <si>
    <t>1.Smartconfig pairing should be initiated without any issue
2.Device pairs in under 60s, confirmed in app, device status shown “Online”, user moves to device addition page</t>
  </si>
  <si>
    <t>PAIRING_MOD_3_TC_02</t>
  </si>
  <si>
    <t>PAIRING_MOD_3_TC_03</t>
  </si>
  <si>
    <t>PAIRING_MOD_3_TC_04</t>
  </si>
  <si>
    <t>PAIRING_MOD_3_TC_05</t>
  </si>
  <si>
    <t>PAIRING_MOD_3_TC_06</t>
  </si>
  <si>
    <t>PAIRING_MOD_3_TC_07</t>
  </si>
  <si>
    <t>PAIRING_MOD_3_TC_08</t>
  </si>
  <si>
    <t>If user enter correct password app should pair with device in  STA mode within 40 secs</t>
  </si>
  <si>
    <t>APP should pair with device in within 40secs</t>
  </si>
  <si>
    <t>PAIRING_MOD_3_TC_09</t>
  </si>
  <si>
    <t>If user enter incorrect, check APP is not pairing in STA mode and switch to AP pairing</t>
  </si>
  <si>
    <t>Pairing should fail in STA mode and pairing should happen in AP</t>
  </si>
  <si>
    <t>PAIRING_MOD_3_TC_10</t>
  </si>
  <si>
    <t>PAIRING_MOD_3_TC_11</t>
  </si>
  <si>
    <t>PAIRING_MOD_3_TC_12</t>
  </si>
  <si>
    <t>PAIRING_MOD_3_TC_13</t>
  </si>
  <si>
    <t>PAIRING_MOD_3_TC_14</t>
  </si>
  <si>
    <t>PAIRING_MOD_3_TC_15</t>
  </si>
  <si>
    <t>PAIRING_MOD_3_TC_16</t>
  </si>
  <si>
    <t>PAIRING_MOD_3_TC_17</t>
  </si>
  <si>
    <t>APP should complete the pairing procedure within 40secs</t>
  </si>
  <si>
    <t>PAIRING_MOD_3_TC_18</t>
  </si>
  <si>
    <t>After entering Wi-Fi password and initiating Pairing sequence, click on Back buttong but don't  clicking "Cancel" or "OK" in "Exit pairing" pop up for 20secs and  check whether app paired with device or not</t>
  </si>
  <si>
    <t>APP should pair with device within 40secs</t>
  </si>
  <si>
    <t>Add_Switchboard_TC_60</t>
  </si>
  <si>
    <t>PAIRING REMOTE</t>
  </si>
  <si>
    <t>Verify BLE pairing flow when only Bluetooth is enabled</t>
  </si>
  <si>
    <t>1. Enable Bluetooth, keep Wi-Fi OFF
2. Tap Add Device again
3. Tap Cancel on “Turn on Wi-Fi” popup
4. Wait for pairing screen to load.</t>
  </si>
  <si>
    <t>“Please don’t lock or put your mobile in background while pairing” message appears.</t>
  </si>
  <si>
    <t>Add_Switchboard_TC_61</t>
  </si>
  <si>
    <t>Validate retry and cancel options on BLE pairing failure</t>
  </si>
  <si>
    <t>1. Let pairing fail naturally or simulate failure
2. Error page with message “Before retrying, restart the device” appears
3. Tap Cancel.</t>
  </si>
  <si>
    <t>Navigates back to Add Device page.</t>
  </si>
  <si>
    <t>Add_Switchboard_TC_62</t>
  </si>
  <si>
    <t>Retry BLE pairing after failure</t>
  </si>
  <si>
    <t>From error screen, tap Retry.</t>
  </si>
  <si>
    <t>Navigates to “Switch the device to pairing mode” page and restarts pairing process.</t>
  </si>
  <si>
    <t>Add_Switchboard_TC_63</t>
  </si>
  <si>
    <t>Verify flow after successful pairing</t>
  </si>
  <si>
    <t xml:space="preserve">Complete BLE pairing process successfully.
</t>
  </si>
  <si>
    <t>Navigates to “Customize your SwitchBoard Name” page.</t>
  </si>
  <si>
    <t>Add_Switchboard_TC_64</t>
  </si>
  <si>
    <t>Cancel on name panel screen</t>
  </si>
  <si>
    <t>Tap Cancel/ Back button on the panel naming screen.</t>
  </si>
  <si>
    <t>Navigates to Add Switch page with default name “Panel 1”.</t>
  </si>
  <si>
    <t>Add_Switchboard_TC_65</t>
  </si>
  <si>
    <t>Save a custom Switchboard  name</t>
  </si>
  <si>
    <t>1. Enter name (e.g., “Living Room Panel”)
2. Tap Save.</t>
  </si>
  <si>
    <t>Navigates to Add Switch page showing entered Switchboardname.</t>
  </si>
  <si>
    <t>Add_Switchboard_TC_66</t>
  </si>
  <si>
    <t>Add Switch</t>
  </si>
  <si>
    <t>Add Switch Ui Check</t>
  </si>
  <si>
    <t xml:space="preserve">
1. Check after naming switchboard, User is navigate to Add switch page.
2. Verify Add Switch page contents and alignment are proper.
</t>
  </si>
  <si>
    <t xml:space="preserve">
1. Check after naming switchboard, User should navigate to Add switch page.
2. Add Switch page contents and alignment are proper.
* No of switches aligned in a row format.
* Text field to enter switch name with placeholfer and a dropdown to select switch type.
* Save button
</t>
  </si>
  <si>
    <t>Add_Switchboard_TC_67</t>
  </si>
  <si>
    <t>Verify switches and their name/type can be configured</t>
  </si>
  <si>
    <t>1. Add Switch page shows number of connected switches (max 6)
2. Tap Enter switch name → popup appears
3. Type name and click Save
4. Select switch type from dropdown
5. Use 3-dot menu to remove a switch.</t>
  </si>
  <si>
    <t>- Switches are listed correctly.
- Names and types are saved.
- Removed switches disappear from list.</t>
  </si>
  <si>
    <t>Add_Switchboard_TC_68</t>
  </si>
  <si>
    <t>Validate user is returned to Devices page after saving switch setup</t>
  </si>
  <si>
    <t>Tap Save on Add Switch screen.</t>
  </si>
  <si>
    <t xml:space="preserve">Returns to Devices page showing added switches in  card view  with its  assigned panel name as badge of card  </t>
  </si>
  <si>
    <t>Add_Switchboard_TC_69</t>
  </si>
  <si>
    <t>Check available options in device hamburger menu</t>
  </si>
  <si>
    <t>1. Tap Hamburger (≡) menu on Rooms page 
2. Observe available menu options.</t>
  </si>
  <si>
    <t>Should display:
• Add Panel
• Panel Edit
• Device Settings
• Share</t>
  </si>
  <si>
    <t>Add_Switchboard_TC_70</t>
  </si>
  <si>
    <t>Validate all editable fields under Device Settings</t>
  </si>
  <si>
    <t>1. Tap Device Settings
2. Select a panel from dropdown
3. Review available options.</t>
  </si>
  <si>
    <t>Should display:
• High/Low Voltage
• ON Duration
• Reset Device
• Firmware Auto Update
• Modify/Add Router options.</t>
  </si>
  <si>
    <t>Add_Switchboard_TC_71</t>
  </si>
  <si>
    <t>Verify panel list and actions on Panel Edit screen</t>
  </si>
  <si>
    <t>1. Tap Panel Edit.</t>
  </si>
  <si>
    <t>If panels exist → Show list with “Add Switchboard” button on top of list 
If no panels → Show only “Add Switchboard” button.</t>
  </si>
  <si>
    <t>Add_Switchboard_TC_72</t>
  </si>
  <si>
    <t>Delete a switchboard device and check if it goes into pairing mode</t>
  </si>
  <si>
    <t>1. Ensure internet is connected
2. Navigate to a created field
3. From switchboard list, delete any device
4. Observe device behavior</t>
  </si>
  <si>
    <t>- Device should be removed from UI
- Device hardware should go to pairing/blinking mode</t>
  </si>
  <si>
    <t>Add_Switchboard_TC_73</t>
  </si>
  <si>
    <t>Re-pair deleted switchboard using "Add Switchboard"</t>
  </si>
  <si>
    <t>1. After deletion, click on “Add Switchboard”
2. Select the same switchboard/device
3. Try to pair again
4. Complete pairing flow</t>
  </si>
  <si>
    <t>- Device should be detected again
- Successfully re-paired and shown in switchboard list</t>
  </si>
  <si>
    <t>Add_Switchboard_TC_74</t>
  </si>
  <si>
    <t>MULTIDEVICE PAIRING</t>
  </si>
  <si>
    <t>Add 10 or more switchboard devices and verify UI scrolling</t>
  </si>
  <si>
    <t>1. Add multiple (10+) switchboard devices using “Add Switchboard”
2. Check the switchboard list view</t>
  </si>
  <si>
    <t>- Page should scroll vertically or horizontally (based on design)
- All devices must be visible or accessible</t>
  </si>
  <si>
    <t>Add_Switchboard_TC_75</t>
  </si>
  <si>
    <t>Remove all devices and verify all enter pairing mode</t>
  </si>
  <si>
    <t>1. Delete all listed switchboard devices
2. Physically observe devices</t>
  </si>
  <si>
    <t>- Each removed device should enter pairing mode (blinking or standby based on hardware)</t>
  </si>
  <si>
    <r>
      <rPr>
        <b/>
        <sz val="11"/>
        <color theme="1"/>
        <rFont val="Arial"/>
      </rPr>
      <t xml:space="preserve">Pre-Condition :
</t>
    </r>
    <r>
      <rPr>
        <sz val="11"/>
        <color theme="1"/>
        <rFont val="Arial"/>
      </rPr>
      <t xml:space="preserve"> - In Room Page, After Clicking SideBar Menu ,In that after clicking Switchboard Edit it navigates directly to Add Switch Page 
1.Check if header, back icon, location breadcrumb, text fields, dropdowns, 3-dot menu, and Save are aligned properly
2.Check  placeholder text displaying "pairing time entered switch name"  or  “Enter Switch Name” is present or not
3.Tap dropdown on any row 
4.Observe Save button across all screens</t>
    </r>
  </si>
  <si>
    <r>
      <rPr>
        <sz val="11"/>
        <color theme="1"/>
        <rFont val="Arial"/>
      </rPr>
      <t xml:space="preserve">5.Check After Entering Switch Name, it changes correctly or not </t>
    </r>
    <r>
      <rPr>
        <b/>
        <sz val="11"/>
        <color theme="1"/>
        <rFont val="Arial"/>
      </rPr>
      <t xml:space="preserve">. </t>
    </r>
    <r>
      <rPr>
        <sz val="11"/>
        <color theme="1"/>
        <rFont val="Arial"/>
      </rPr>
      <t>Eg: ( 'Ac' )
6.Check After Clicking any Fields in the Dropdown, Atlast Selected Specific Field is shown or not 
7.Verify After Clicking 3 dots, Edit  option  is shown or not
8.Check After Clicking Edit Option, It shows Enter Switch Name Page or not</t>
    </r>
  </si>
  <si>
    <t>1. Ensure the title "Add Switch" is visible.
2. Check below title after entering the screen Breadcrumb path is shown.
3. Verify that the input card for naming the smart panel is displayed correctly.
4. Verify Save button appears only when input exists.
5. Tap Save after entering valid panel name.</t>
  </si>
  <si>
    <t>1. Title "Add Switch" should be visible at the top center of the screen.
2. Breadcrumb appears in correct format.
 (e.g., Room &gt; panel)
3. A white input card titled "Name your Smart Panel" should be visible with:
• A short description text
• A text input field
• A Save button.
4. Enter panel name text then only Save button becomes active/visible.
5. "Panel name saved successfully" toast should appear.</t>
  </si>
  <si>
    <r>
      <rPr>
        <sz val="11"/>
        <color theme="1"/>
        <rFont val="Arial"/>
      </rPr>
      <t xml:space="preserve">1. Switch name input should be visible.
2. Check Dropdown field is clearly shown.
3. Validate dropdown lists correct types.
4. Save button is visible below dropdown.
5. Tap Save after selecting switch field.
</t>
    </r>
    <r>
      <rPr>
        <sz val="11"/>
        <color rgb="FFFF00FF"/>
        <rFont val="Arial"/>
      </rPr>
      <t>Save after Switch:-
1.Type of load image shown on each card.</t>
    </r>
  </si>
  <si>
    <r>
      <rPr>
        <sz val="11"/>
        <color theme="1"/>
        <rFont val="Arial"/>
      </rPr>
      <t xml:space="preserve">1. Text field labeled "Enter Switch Name" appears.
2. Dropdown options appear clearly.
3. Open dropdown options: 
 -Fan, 
 -Light, 
 -Ceiling Fan, 
 -Others shown.
4. Button labeled “Save” appears
5. “Device added successfully!” pop-up appears with OK button.
</t>
    </r>
    <r>
      <rPr>
        <sz val="11"/>
        <color rgb="FFFF00FF"/>
        <rFont val="Arial"/>
      </rPr>
      <t>Save after Switch:-
1..Each card shows correct load image.
 -Fan, 
 -Light, 
 -Ceiling Fan, 
 -Others shown.</t>
    </r>
  </si>
  <si>
    <r>
      <rPr>
        <sz val="11"/>
        <color theme="1"/>
        <rFont val="Arial"/>
      </rPr>
      <t>1. Ensure switch gets saved when switch name and field are entered correctly.
2. System should block saving if the switch name is not entered.
3. System should block saving if no switch type is selected.
4. Ensure each field option is selectable from dropdown.
5. Ensure system handles duplicate switch names.</t>
    </r>
    <r>
      <rPr>
        <sz val="11"/>
        <color rgb="FFFF00FF"/>
        <rFont val="Arial"/>
      </rPr>
      <t xml:space="preserve">
</t>
    </r>
  </si>
  <si>
    <t>1. A pop-up appears with the message “Switch added successfully!” and an OK button.
2. Switch is not saved. show validation error "Please Enter switch name"
3. Show validation message: “Please select a switch type.”
4. Selected value should appear in the dropdown and be retained after selection.
5. Try adding another switch with the same name and same field. System shows message like: “Switch name already exists”</t>
  </si>
  <si>
    <t>Add Device_2_tc_001</t>
  </si>
  <si>
    <t>Device_Add_2</t>
  </si>
  <si>
    <t>Verify successful device addition after pairing</t>
  </si>
  <si>
    <t>Add Device_2_tc_002</t>
  </si>
  <si>
    <t>Add Device_2_tc_003</t>
  </si>
  <si>
    <t>Add Device_2_tc_004</t>
  </si>
  <si>
    <t>Add Device_2_tc_005</t>
  </si>
  <si>
    <t>Add Device_2_tc_006</t>
  </si>
  <si>
    <t>Week</t>
  </si>
  <si>
    <t>Ticket No</t>
  </si>
  <si>
    <t>Ticket Description</t>
  </si>
  <si>
    <t>Status</t>
  </si>
  <si>
    <t>Y$$W##</t>
  </si>
  <si>
    <t>XXXX</t>
  </si>
  <si>
    <t>Sample</t>
  </si>
  <si>
    <t>Active/Resolved</t>
  </si>
  <si>
    <t xml:space="preserve">Done </t>
  </si>
  <si>
    <t xml:space="preserve">Skipped </t>
  </si>
  <si>
    <t xml:space="preserve">
SignUp</t>
  </si>
  <si>
    <t xml:space="preserve">SignUp with Valid inputs for below mandatory field 
-User name 
-Name 
-Password 
-Confirm Passsword
-Accept Terms and conditions  
After SignUp ,moves to Security Questions page
-Security Questions page -For User verification, Enter  valid inputs for two mandatory fields </t>
  </si>
  <si>
    <t xml:space="preserve">Welcome page &amp; SignIn </t>
  </si>
  <si>
    <t xml:space="preserve">1.click on Next and Get Started 
2.Enter  already registered Username and Password for that mandatorty fields to signIn </t>
  </si>
  <si>
    <t xml:space="preserve">Forget Password Page </t>
  </si>
  <si>
    <t>-Enter registered UserName field which is mandatory to move to security questions page
 -Enter the correct  data for two inputs fields and verify user
-Enter New Password and Confirm Password to continue Signin</t>
  </si>
  <si>
    <t>Multiuser</t>
  </si>
  <si>
    <r>
      <rPr>
        <b/>
        <sz val="11"/>
        <color rgb="FF000000"/>
        <rFont val="Calibri"/>
      </rPr>
      <t>Maxmimum users count -x
Share from HOMEPAGE</t>
    </r>
    <r>
      <rPr>
        <sz val="11"/>
        <color rgb="FF000000"/>
        <rFont val="Calibri"/>
      </rPr>
      <t xml:space="preserve">
- Form Home page click Start a new home 
-Click on Known Home pairing and Scan QR and get Other users Home  page 
-Click on Start a New Home and create Hierarchy
</t>
    </r>
    <r>
      <rPr>
        <b/>
        <sz val="11"/>
        <color rgb="FF000000"/>
        <rFont val="Calibri"/>
      </rPr>
      <t>Share from PARTICULARPAGE(Apartment page /Floor page/Home page/Rooms page)</t>
    </r>
    <r>
      <rPr>
        <sz val="11"/>
        <color rgb="FF000000"/>
        <rFont val="Calibri"/>
      </rPr>
      <t xml:space="preserve">
1.If cliked on share on particular page ,it take user to share page .
2.User can able to share the rooms , Home ,Floor or Apartment  Hierarchy  based on role based access  to other users via QR scanning or by entering thier Username  
3.Roles :
   -Full access            -User can able to do add/edit/remove  hierarchy and their fields,on/off,  keep schedule ,add device 
  -Partial access        -User can only able  to  on/off the device which is shared to them 
  -View only access      -user can only able to navigate and view all the pages which is shared to them 
</t>
    </r>
    <r>
      <rPr>
        <b/>
        <sz val="11"/>
        <color rgb="FF000000"/>
        <rFont val="Calibri"/>
      </rPr>
      <t xml:space="preserve">Share from Settings page 
</t>
    </r>
    <r>
      <rPr>
        <sz val="11"/>
        <color rgb="FF000000"/>
        <rFont val="Calibri"/>
      </rPr>
      <t xml:space="preserve">click on Share via Qr to get other user created rooms </t>
    </r>
  </si>
  <si>
    <t>Hierarchy Creation</t>
  </si>
  <si>
    <t>*Minimum of 1 field and Maximum of 4 fields 
-Click on Start a New Home and create Hierarchy
-Add Apartment -After created  Hierarchy navigate to Apartments  tab  and add apartments   to save 
-Add Floor -Navigate to Floor  tab  and add list of Floors   to save 
-Add Home -Navigate to Homes  tab  and add list of Homes  to save 
-Add Rooms 
and create Hierarchy - Navigate to Rooms tab and choose Room type to save and navigate to Home page</t>
  </si>
  <si>
    <t xml:space="preserve">*Minimum of 1 field and Maximum of 4 fields 
1.After added 1 field -name it as  XXXXX and  if user skip the preocedure 
1.XXXXX  page display with Enter XXXX name and choose type of room  with 
-  + button  
-Save button
- Skip button
2.If user skip then it takes user to Home page 
</t>
  </si>
  <si>
    <t>Home page UI after Hierarchy and its field creation</t>
  </si>
  <si>
    <t xml:space="preserve">1.Home page contains 
-Home Icon 
-Floor List icon
-Overall Analytics icon
-Settings icon
2.Smart scene - Collection of nodes in one box with Toggle button to enable &amp; disable
3.Added Hierarchy should display in Home page 
4.Click on Plus button to add Another Hierarchy 
5.Display multi users list   
6.Display Energy consumed analytics 
7.Display notifications 
8.Screensharing mode </t>
  </si>
  <si>
    <t>Floor List UI &amp;Functional</t>
  </si>
  <si>
    <r>
      <rPr>
        <sz val="11"/>
        <color rgb="FF000000"/>
        <rFont val="Calibri"/>
      </rPr>
      <t xml:space="preserve">1.It display Rooms   in Created Hierachial order  (i.e)
</t>
    </r>
    <r>
      <rPr>
        <b/>
        <sz val="11"/>
        <color rgb="FF000000"/>
        <rFont val="Calibri"/>
      </rPr>
      <t xml:space="preserve">Apartments -&gt;Floor-&gt; Home -&gt;Room 
</t>
    </r>
    <r>
      <rPr>
        <sz val="11"/>
        <color rgb="FF000000"/>
        <rFont val="Calibri"/>
      </rPr>
      <t xml:space="preserve">2.In menu bar it has Add &amp; Edit option  and Share options 
3..If clicked on Add and Edit on particular page ,It will take user to Hierarchy page to Add or remove that page 
</t>
    </r>
  </si>
  <si>
    <t>Add Switchboard</t>
  </si>
  <si>
    <r>
      <rPr>
        <b/>
        <sz val="11"/>
        <color rgb="FF000000"/>
        <rFont val="Calibri"/>
      </rPr>
      <t xml:space="preserve">Maximum Switches(6) for 1 panel 
Navigate to  created field(Rooms) in Hierarchy
</t>
    </r>
    <r>
      <rPr>
        <sz val="11"/>
        <color rgb="FF000000"/>
        <rFont val="Calibri"/>
      </rPr>
      <t xml:space="preserve">1.Pair with device in Remote mode of pairing 
2.Enter switches name and its types 
</t>
    </r>
    <r>
      <rPr>
        <b/>
        <sz val="11"/>
        <color rgb="FF000000"/>
        <rFont val="Calibri"/>
      </rPr>
      <t xml:space="preserve">Navigate to  created field(Rooms) in Hierarchy and click on Menubar and click on Add Switchboard
</t>
    </r>
    <r>
      <rPr>
        <sz val="11"/>
        <color rgb="FF000000"/>
        <rFont val="Calibri"/>
      </rPr>
      <t xml:space="preserve"> 1.Pair with device in Remote mode of pairing 
2.Enter switches name and its types 
</t>
    </r>
    <r>
      <rPr>
        <b/>
        <sz val="11"/>
        <color rgb="FF000000"/>
        <rFont val="Calibri"/>
      </rPr>
      <t>Navigate to  created field(Rooms) in Hierarchy and click on Menubar and click on Edit  Switchboard</t>
    </r>
    <r>
      <rPr>
        <sz val="11"/>
        <color rgb="FF000000"/>
        <rFont val="Calibri"/>
      </rPr>
      <t xml:space="preserve">
1.Click on Add switchboard 
2.Pair with device in Remote mode of pairing 
3.Enter switches name and its types 
</t>
    </r>
  </si>
  <si>
    <t xml:space="preserve">Edit Switch Board </t>
  </si>
  <si>
    <t xml:space="preserve">Navigate to Room and in Menubar click on Edit Switch board 
-To delete Switch board 
-To Add Switch Board </t>
  </si>
  <si>
    <t xml:space="preserve">Connectivity </t>
  </si>
  <si>
    <t>check Remote connectivity and other connectivities</t>
  </si>
  <si>
    <t xml:space="preserve">Device settings </t>
  </si>
  <si>
    <t xml:space="preserve">1.Navigate to Room and in Menu bar click on Device settings and 
-configure Low voltage 
-Configure High voltage 
-configure Duration for on
-Reset device
-Add Router </t>
  </si>
  <si>
    <t xml:space="preserve">Schedular </t>
  </si>
  <si>
    <t xml:space="preserve">1.Navigate to Room and navigate into created devices to add and delete  schedule 
</t>
  </si>
  <si>
    <t xml:space="preserve">Analytics </t>
  </si>
  <si>
    <t>1.After Signin , navigate to Analytics page and check for analytics 
2.After signin ,hierarchy creation and added devices ,navigate to analytics page and check analytics</t>
  </si>
  <si>
    <t xml:space="preserve">Profile Settings </t>
  </si>
  <si>
    <t xml:space="preserve">1.Username  
    -Edit Profile pic
    -Edit Username 
    -Verify Email
    -Edit DOB
    -Edit Gender
    -Change Password 
    -Delete Account 
2.Theme settings 
      -Auto 
     -Dark 
     -Light  
3.share  via QR 
4.Hierarchy
   -Add or Remove Hierarchy 
4.Help 
5.Logout 
</t>
  </si>
  <si>
    <t>App side:</t>
  </si>
  <si>
    <t>Application</t>
  </si>
  <si>
    <t>ftp://qa_usr@192.168.10.34/Internal_Project/FULL_VALIDATION_PACKAGES_LOGS/PACKAGES/2025/NAVY/VidyuRaksha/FEB_REL_14940/Multi%20Product%20App%20Setup%200.1.0.exe</t>
  </si>
  <si>
    <t>Build need to be generated from this path</t>
  </si>
  <si>
    <t>certificate file</t>
  </si>
  <si>
    <t>ftp://qa_usr@192.168.10.34/Internal_Project/FULL_VALIDATION_PACKAGES_LOGS/PACKAGES/2025/NAVY/VidyuRaksha/FEB_REL_14937/msp.zip</t>
  </si>
  <si>
    <t>Server setup with router configuration</t>
  </si>
  <si>
    <t>Ready (Bala place oppsite)</t>
  </si>
  <si>
    <t>Device Side:</t>
  </si>
  <si>
    <t>NVS Generator Path</t>
  </si>
  <si>
    <t>ftp://qa_usr@192.168.10.34/Internal_Project/FULL_VALIDATION_PACKAGES_LOGS/PACKAGES/2025/NAVY/VidyuRaksha/FEB_REL_14937/NVS_BIN_Creator.zip</t>
  </si>
  <si>
    <t>NVS file</t>
  </si>
  <si>
    <t>ftp://qa_usr@192.168.10.34/Internal_Project/FULL_VALIDATION_PACKAGES_LOGS/PACKAGES/2025/NAVY/VidyuRaksha/FEB_REL_14937/NVS_RO_PARTITION.bin</t>
  </si>
  <si>
    <t>bin file</t>
  </si>
  <si>
    <t>http://192.168.10.2:82/svn/iinvsys_sw/trunk/device/mscs_dev_sw/dev</t>
  </si>
  <si>
    <t>Need to create the bin from svn folder</t>
  </si>
  <si>
    <t>pairing script</t>
  </si>
  <si>
    <t>ftp://qa_usr@192.168.10.34/Internal_Project/FULL_VALIDATION_PACKAGES_LOGS/PACKAGES/2025/NAVY/VidyuRaksha/FEB_REL_14937/Wifi_STA_v1.6%20%282%29.zip</t>
  </si>
  <si>
    <t>Device connection URL</t>
  </si>
  <si>
    <t>wss://webapp.lan:55541</t>
  </si>
  <si>
    <t>Test Equipements Needed</t>
  </si>
  <si>
    <t>Vidyuraksha board</t>
  </si>
  <si>
    <t>One board available with Smoke Sensor</t>
  </si>
  <si>
    <t>Router</t>
  </si>
  <si>
    <t>Router avilable ()</t>
  </si>
  <si>
    <t>Laptop</t>
  </si>
  <si>
    <t>User laptop</t>
  </si>
  <si>
    <t>Day1</t>
  </si>
  <si>
    <t>Day2</t>
  </si>
  <si>
    <t>Day3</t>
  </si>
  <si>
    <t>Day4</t>
  </si>
  <si>
    <t>Day5</t>
  </si>
  <si>
    <t>Day6</t>
  </si>
  <si>
    <t>Pending</t>
  </si>
  <si>
    <t>R1</t>
  </si>
  <si>
    <t>R2</t>
  </si>
  <si>
    <t>R3</t>
  </si>
  <si>
    <t>R4</t>
  </si>
  <si>
    <t>R5</t>
  </si>
  <si>
    <t>Device only Testing</t>
  </si>
  <si>
    <t>SIGN_IN_UP_OTP</t>
  </si>
  <si>
    <t>PAIRING</t>
  </si>
  <si>
    <t>CONNECTIVITY</t>
  </si>
  <si>
    <t>SCHEDULAR</t>
  </si>
  <si>
    <t>ANALYTICS</t>
  </si>
  <si>
    <t>MULTI_USER</t>
  </si>
  <si>
    <t>MULTI_DEVICE</t>
  </si>
  <si>
    <t>ADMIN_USER</t>
  </si>
  <si>
    <t>NOTIFICATION</t>
  </si>
  <si>
    <t>DEVICE_SETTING</t>
  </si>
  <si>
    <t>ADD_DEVICE</t>
  </si>
  <si>
    <t>MENU_BAR</t>
  </si>
  <si>
    <t>APP_UI</t>
  </si>
  <si>
    <t>QR_PIN_SEARCH</t>
  </si>
  <si>
    <t>OTA</t>
  </si>
  <si>
    <t>No of Device per R</t>
  </si>
  <si>
    <t>No of   per R</t>
  </si>
  <si>
    <t>No of Device</t>
  </si>
  <si>
    <t xml:space="preserve">No of  </t>
  </si>
  <si>
    <t>TC_04_removeswitchboard</t>
  </si>
  <si>
    <t>status</t>
  </si>
  <si>
    <t>TC10_SwitchLock_&amp;_notifications</t>
  </si>
  <si>
    <t>AUTOMATION_TC_NAME</t>
  </si>
  <si>
    <t>TC_01_SignUp with Valid creds</t>
  </si>
  <si>
    <t>TC_02_SignIn_check</t>
  </si>
  <si>
    <t>TC_01_SignUp with Valid creds and Create Hierarchy</t>
  </si>
  <si>
    <t>TC05_MultipleSchedule_Timer</t>
  </si>
  <si>
    <t>TC_06_SceneCreation</t>
  </si>
  <si>
    <t xml:space="preserve">TC_07_Device settings </t>
  </si>
  <si>
    <t>TC08_Profilepage</t>
  </si>
  <si>
    <t>TC09_Multiuser</t>
  </si>
</sst>
</file>

<file path=xl/styles.xml><?xml version="1.0" encoding="utf-8"?>
<styleSheet xmlns="http://schemas.openxmlformats.org/spreadsheetml/2006/main">
  <fonts count="54">
    <font>
      <sz val="11"/>
      <color theme="1"/>
      <name val="Arial"/>
      <scheme val="minor"/>
    </font>
    <font>
      <sz val="11"/>
      <color theme="1"/>
      <name val="Calibri"/>
    </font>
    <font>
      <sz val="11"/>
      <color theme="1"/>
      <name val="Arial"/>
    </font>
    <font>
      <sz val="11"/>
      <name val="Arial"/>
    </font>
    <font>
      <sz val="11"/>
      <color rgb="FF006100"/>
      <name val="Calibri"/>
    </font>
    <font>
      <sz val="11"/>
      <color rgb="FF9C0006"/>
      <name val="Calibri"/>
    </font>
    <font>
      <sz val="11"/>
      <color rgb="FF9C6500"/>
      <name val="Calibri"/>
    </font>
    <font>
      <u/>
      <sz val="11"/>
      <color rgb="FF0000FF"/>
      <name val="Calibri"/>
    </font>
    <font>
      <sz val="13"/>
      <color theme="1"/>
      <name val="Calibri"/>
    </font>
    <font>
      <b/>
      <sz val="11"/>
      <color theme="1"/>
      <name val="Calibri"/>
    </font>
    <font>
      <sz val="11"/>
      <color theme="1"/>
      <name val="Arial"/>
      <scheme val="minor"/>
    </font>
    <font>
      <u/>
      <sz val="11"/>
      <color theme="10"/>
      <name val="Calibri"/>
    </font>
    <font>
      <u/>
      <sz val="11"/>
      <color theme="10"/>
      <name val="Calibri"/>
    </font>
    <font>
      <u/>
      <sz val="11"/>
      <color theme="10"/>
      <name val="Calibri"/>
    </font>
    <font>
      <sz val="11"/>
      <color rgb="FF0000FF"/>
      <name val="Calibri"/>
    </font>
    <font>
      <u/>
      <sz val="11"/>
      <color theme="10"/>
      <name val="Calibri"/>
    </font>
    <font>
      <b/>
      <sz val="10"/>
      <color theme="1"/>
      <name val="Calibri"/>
    </font>
    <font>
      <b/>
      <sz val="10"/>
      <color rgb="FFFFFF00"/>
      <name val="Calibri"/>
    </font>
    <font>
      <b/>
      <sz val="10"/>
      <color theme="1"/>
      <name val="Arial"/>
    </font>
    <font>
      <b/>
      <sz val="11"/>
      <color rgb="FFFFFF00"/>
      <name val="Calibri"/>
    </font>
    <font>
      <sz val="10"/>
      <color theme="1"/>
      <name val="Arial"/>
    </font>
    <font>
      <sz val="15"/>
      <color rgb="FF3E4359"/>
      <name val="Arial"/>
    </font>
    <font>
      <sz val="10"/>
      <color theme="1"/>
      <name val="Calibri"/>
    </font>
    <font>
      <u/>
      <sz val="11"/>
      <color rgb="FF0000FF"/>
      <name val="Arial"/>
    </font>
    <font>
      <sz val="11"/>
      <color theme="1"/>
      <name val="Arial"/>
    </font>
    <font>
      <sz val="15"/>
      <color rgb="FF3E4359"/>
      <name val="System-ui"/>
    </font>
    <font>
      <sz val="11"/>
      <color rgb="FF000000"/>
      <name val="Arial"/>
    </font>
    <font>
      <sz val="11"/>
      <color rgb="FFFF0000"/>
      <name val="Arial"/>
    </font>
    <font>
      <u/>
      <sz val="11"/>
      <color rgb="FF0000FF"/>
      <name val="Calibri"/>
    </font>
    <font>
      <sz val="11"/>
      <color rgb="FF000000"/>
      <name val="Calibri"/>
    </font>
    <font>
      <b/>
      <sz val="11"/>
      <color theme="1"/>
      <name val="Arial"/>
    </font>
    <font>
      <sz val="11"/>
      <color theme="10"/>
      <name val="Calibri"/>
    </font>
    <font>
      <u/>
      <sz val="11"/>
      <color theme="10"/>
      <name val="Calibri"/>
    </font>
    <font>
      <u/>
      <sz val="11"/>
      <color rgb="FF0000FF"/>
      <name val="Calibri"/>
    </font>
    <font>
      <sz val="11"/>
      <color rgb="FFFF00FF"/>
      <name val="Arial"/>
    </font>
    <font>
      <sz val="14"/>
      <color theme="1"/>
      <name val="Arial"/>
    </font>
    <font>
      <sz val="10"/>
      <color rgb="FFFF00FF"/>
      <name val="Calibri"/>
    </font>
    <font>
      <b/>
      <sz val="11"/>
      <color rgb="FFFF00FF"/>
      <name val="Calibri"/>
    </font>
    <font>
      <sz val="11"/>
      <color rgb="FFFF00FF"/>
      <name val="Calibri"/>
    </font>
    <font>
      <u/>
      <sz val="11"/>
      <color rgb="FF0000FF"/>
      <name val="Arial"/>
    </font>
    <font>
      <b/>
      <sz val="11"/>
      <color rgb="FF000000"/>
      <name val="Calibri"/>
    </font>
    <font>
      <sz val="11"/>
      <color theme="4"/>
      <name val="Calibri"/>
    </font>
    <font>
      <sz val="11"/>
      <color rgb="FF4F81BD"/>
      <name val="Calibri"/>
    </font>
    <font>
      <sz val="11"/>
      <color rgb="FF4F81BD"/>
      <name val="Arial"/>
    </font>
    <font>
      <sz val="11"/>
      <color theme="4"/>
      <name val="Arial"/>
    </font>
    <font>
      <sz val="11"/>
      <color rgb="FF0070C0"/>
      <name val="Calibri"/>
    </font>
    <font>
      <sz val="11"/>
      <color rgb="FF0070C0"/>
      <name val="Arial"/>
    </font>
    <font>
      <b/>
      <sz val="17"/>
      <color theme="1"/>
      <name val="Calibri"/>
    </font>
    <font>
      <sz val="14"/>
      <color theme="1"/>
      <name val="Calibri"/>
    </font>
    <font>
      <b/>
      <sz val="16"/>
      <color theme="1"/>
      <name val="Calibri"/>
    </font>
    <font>
      <u/>
      <sz val="11"/>
      <color rgb="FF0000FF"/>
      <name val="Calibri"/>
    </font>
    <font>
      <b/>
      <sz val="11"/>
      <color rgb="FF000000"/>
      <name val="Arial"/>
    </font>
    <font>
      <sz val="11"/>
      <color theme="1"/>
      <name val="Arial"/>
      <family val="2"/>
    </font>
    <font>
      <b/>
      <sz val="10"/>
      <color theme="1"/>
      <name val="Arial"/>
      <family val="2"/>
    </font>
  </fonts>
  <fills count="22">
    <fill>
      <patternFill patternType="none"/>
    </fill>
    <fill>
      <patternFill patternType="gray125"/>
    </fill>
    <fill>
      <patternFill patternType="solid">
        <fgColor rgb="FFFFFFFF"/>
        <bgColor rgb="FFFFFFFF"/>
      </patternFill>
    </fill>
    <fill>
      <patternFill patternType="solid">
        <fgColor rgb="FFFBD4B4"/>
        <bgColor rgb="FFFBD4B4"/>
      </patternFill>
    </fill>
    <fill>
      <patternFill patternType="solid">
        <fgColor rgb="FFF2F2F2"/>
        <bgColor rgb="FFF2F2F2"/>
      </patternFill>
    </fill>
    <fill>
      <patternFill patternType="solid">
        <fgColor rgb="FFC6D9F0"/>
        <bgColor rgb="FFC6D9F0"/>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00FF00"/>
        <bgColor rgb="FF00FF00"/>
      </patternFill>
    </fill>
    <fill>
      <patternFill patternType="solid">
        <fgColor rgb="FFB7B7B7"/>
        <bgColor rgb="FFB7B7B7"/>
      </patternFill>
    </fill>
    <fill>
      <patternFill patternType="solid">
        <fgColor rgb="FFDAEEF3"/>
        <bgColor rgb="FFDAEEF3"/>
      </patternFill>
    </fill>
    <fill>
      <patternFill patternType="solid">
        <fgColor rgb="FFFFFF00"/>
        <bgColor rgb="FFFFFF00"/>
      </patternFill>
    </fill>
    <fill>
      <patternFill patternType="solid">
        <fgColor theme="0"/>
        <bgColor theme="0"/>
      </patternFill>
    </fill>
    <fill>
      <patternFill patternType="solid">
        <fgColor rgb="FFFF00FF"/>
        <bgColor rgb="FFFF00FF"/>
      </patternFill>
    </fill>
    <fill>
      <patternFill patternType="solid">
        <fgColor rgb="FF8DB3E2"/>
        <bgColor rgb="FF8DB3E2"/>
      </patternFill>
    </fill>
    <fill>
      <patternFill patternType="solid">
        <fgColor rgb="FFC27BA0"/>
        <bgColor rgb="FFC27BA0"/>
      </patternFill>
    </fill>
    <fill>
      <patternFill patternType="solid">
        <fgColor rgb="FFDDD9C3"/>
        <bgColor rgb="FFDDD9C3"/>
      </patternFill>
    </fill>
    <fill>
      <patternFill patternType="solid">
        <fgColor rgb="FFF4CCCC"/>
        <bgColor rgb="FFF4CCCC"/>
      </patternFill>
    </fill>
    <fill>
      <patternFill patternType="solid">
        <fgColor rgb="FFF9CB9C"/>
        <bgColor rgb="FFF9CB9C"/>
      </patternFill>
    </fill>
    <fill>
      <patternFill patternType="solid">
        <fgColor rgb="FFEEECE1"/>
        <bgColor rgb="FFEEECE1"/>
      </patternFill>
    </fill>
    <fill>
      <patternFill patternType="solid">
        <fgColor rgb="FFFDE9D9"/>
        <bgColor rgb="FFFDE9D9"/>
      </patternFill>
    </fill>
  </fills>
  <borders count="21">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s>
  <cellStyleXfs count="1">
    <xf numFmtId="0" fontId="0" fillId="0" borderId="0"/>
  </cellStyleXfs>
  <cellXfs count="247">
    <xf numFmtId="0" fontId="0" fillId="0" borderId="0" xfId="0" applyFont="1" applyAlignment="1"/>
    <xf numFmtId="0" fontId="1" fillId="0" borderId="0" xfId="0" applyFont="1"/>
    <xf numFmtId="0" fontId="2" fillId="2" borderId="1" xfId="0" applyFont="1" applyFill="1" applyBorder="1"/>
    <xf numFmtId="0" fontId="1" fillId="0" borderId="0" xfId="0" applyFont="1" applyAlignment="1">
      <alignment horizontal="right"/>
    </xf>
    <xf numFmtId="0" fontId="1" fillId="0" borderId="0" xfId="0" applyFont="1" applyAlignment="1">
      <alignment wrapText="1"/>
    </xf>
    <xf numFmtId="0" fontId="1" fillId="5" borderId="8" xfId="0" applyFont="1" applyFill="1" applyBorder="1" applyAlignment="1">
      <alignment horizontal="center" vertical="center"/>
    </xf>
    <xf numFmtId="0" fontId="1" fillId="5" borderId="8" xfId="0" applyFont="1" applyFill="1" applyBorder="1" applyAlignment="1">
      <alignment horizontal="center" vertical="center" wrapText="1"/>
    </xf>
    <xf numFmtId="0" fontId="4" fillId="6" borderId="8" xfId="0" applyFont="1" applyFill="1" applyBorder="1" applyAlignment="1">
      <alignment horizontal="center" vertical="center"/>
    </xf>
    <xf numFmtId="0" fontId="5" fillId="7" borderId="8" xfId="0" applyFont="1" applyFill="1" applyBorder="1" applyAlignment="1">
      <alignment horizontal="center" vertical="center"/>
    </xf>
    <xf numFmtId="0" fontId="6" fillId="8" borderId="8" xfId="0" applyFont="1" applyFill="1" applyBorder="1" applyAlignment="1">
      <alignment horizontal="center" vertical="center"/>
    </xf>
    <xf numFmtId="0" fontId="1" fillId="5" borderId="8" xfId="0" applyFont="1" applyFill="1" applyBorder="1" applyAlignment="1">
      <alignment horizontal="center" vertical="center"/>
    </xf>
    <xf numFmtId="0" fontId="1" fillId="9" borderId="8" xfId="0" applyFont="1" applyFill="1" applyBorder="1" applyAlignment="1">
      <alignment horizontal="center" vertical="center"/>
    </xf>
    <xf numFmtId="0" fontId="7" fillId="0" borderId="8" xfId="0" applyFont="1" applyBorder="1" applyAlignment="1">
      <alignment horizontal="left" vertical="center"/>
    </xf>
    <xf numFmtId="0" fontId="1" fillId="0" borderId="8" xfId="0" applyFont="1" applyBorder="1" applyAlignment="1">
      <alignment horizontal="center" vertical="center" wrapText="1"/>
    </xf>
    <xf numFmtId="0" fontId="8" fillId="0" borderId="0" xfId="0" applyFont="1"/>
    <xf numFmtId="0" fontId="1" fillId="0" borderId="8" xfId="0" applyFont="1" applyBorder="1" applyAlignment="1">
      <alignment horizontal="center" vertical="center"/>
    </xf>
    <xf numFmtId="9" fontId="1" fillId="0" borderId="8" xfId="0" applyNumberFormat="1" applyFont="1" applyBorder="1" applyAlignment="1">
      <alignment horizontal="center"/>
    </xf>
    <xf numFmtId="0" fontId="1" fillId="0" borderId="9" xfId="0" applyFont="1" applyBorder="1" applyAlignment="1">
      <alignment horizontal="center" vertical="center" wrapText="1"/>
    </xf>
    <xf numFmtId="0" fontId="1" fillId="0" borderId="8" xfId="0" applyFont="1" applyBorder="1" applyAlignment="1">
      <alignment horizontal="center" vertical="center"/>
    </xf>
    <xf numFmtId="0" fontId="9" fillId="0" borderId="8" xfId="0" applyFont="1" applyBorder="1"/>
    <xf numFmtId="0" fontId="12" fillId="0" borderId="0" xfId="0" applyFont="1" applyAlignment="1">
      <alignment vertical="center"/>
    </xf>
    <xf numFmtId="9" fontId="1" fillId="0" borderId="0" xfId="0" applyNumberFormat="1" applyFont="1" applyAlignment="1">
      <alignment horizontal="center"/>
    </xf>
    <xf numFmtId="0" fontId="10" fillId="0" borderId="8" xfId="0" applyFont="1" applyBorder="1" applyAlignment="1"/>
    <xf numFmtId="0" fontId="13" fillId="0" borderId="0" xfId="0" applyFont="1" applyAlignment="1">
      <alignment horizontal="center" vertical="center"/>
    </xf>
    <xf numFmtId="0" fontId="10" fillId="0" borderId="8" xfId="0" applyFont="1" applyBorder="1"/>
    <xf numFmtId="0" fontId="14" fillId="0" borderId="0" xfId="0" applyFont="1"/>
    <xf numFmtId="0" fontId="15" fillId="0" borderId="0" xfId="0" applyFont="1"/>
    <xf numFmtId="0" fontId="2" fillId="0" borderId="0" xfId="0" applyFont="1" applyAlignment="1">
      <alignment horizontal="center"/>
    </xf>
    <xf numFmtId="0" fontId="16" fillId="10" borderId="8" xfId="0" applyFont="1" applyFill="1" applyBorder="1" applyAlignment="1">
      <alignment horizontal="center" vertical="center" wrapText="1"/>
    </xf>
    <xf numFmtId="0" fontId="16" fillId="10" borderId="8" xfId="0" applyFont="1" applyFill="1" applyBorder="1" applyAlignment="1">
      <alignment horizontal="center" vertical="center"/>
    </xf>
    <xf numFmtId="0" fontId="16" fillId="10" borderId="8" xfId="0" applyFont="1" applyFill="1" applyBorder="1" applyAlignment="1">
      <alignment horizontal="center" vertical="center" wrapText="1"/>
    </xf>
    <xf numFmtId="0" fontId="17" fillId="10" borderId="8" xfId="0" applyFont="1" applyFill="1" applyBorder="1" applyAlignment="1">
      <alignment horizontal="center" vertical="center" wrapText="1"/>
    </xf>
    <xf numFmtId="0" fontId="2" fillId="0" borderId="8" xfId="0" applyFont="1" applyBorder="1" applyAlignment="1">
      <alignment horizontal="center" vertical="center" wrapText="1"/>
    </xf>
    <xf numFmtId="0" fontId="18" fillId="11" borderId="8" xfId="0" applyFont="1" applyFill="1" applyBorder="1" applyAlignment="1">
      <alignment horizontal="center" vertical="center" wrapText="1"/>
    </xf>
    <xf numFmtId="0" fontId="2" fillId="0" borderId="8" xfId="0" applyFont="1" applyBorder="1" applyAlignment="1">
      <alignment horizontal="left" vertical="center" wrapText="1"/>
    </xf>
    <xf numFmtId="0" fontId="2" fillId="2" borderId="14" xfId="0" applyFont="1" applyFill="1" applyBorder="1" applyAlignment="1">
      <alignment horizontal="left" vertical="center" wrapText="1"/>
    </xf>
    <xf numFmtId="0" fontId="19" fillId="12" borderId="8" xfId="0" applyFont="1" applyFill="1" applyBorder="1" applyAlignment="1">
      <alignment horizontal="center" vertical="center"/>
    </xf>
    <xf numFmtId="0" fontId="20" fillId="13" borderId="8" xfId="0" applyFont="1" applyFill="1" applyBorder="1" applyAlignment="1">
      <alignment horizontal="center" vertical="center" wrapText="1"/>
    </xf>
    <xf numFmtId="0" fontId="21" fillId="2" borderId="8" xfId="0" applyFont="1" applyFill="1" applyBorder="1"/>
    <xf numFmtId="0" fontId="1" fillId="0" borderId="8" xfId="0" applyFont="1" applyBorder="1" applyAlignment="1">
      <alignment horizontal="left" vertical="center" wrapText="1"/>
    </xf>
    <xf numFmtId="0" fontId="22" fillId="13" borderId="8" xfId="0" applyFont="1" applyFill="1" applyBorder="1" applyAlignment="1">
      <alignment horizontal="center" vertical="center"/>
    </xf>
    <xf numFmtId="0" fontId="2" fillId="0" borderId="8" xfId="0" applyFont="1" applyBorder="1"/>
    <xf numFmtId="0" fontId="2" fillId="0" borderId="7" xfId="0" applyFont="1" applyBorder="1" applyAlignment="1">
      <alignment horizontal="left" vertical="center" wrapText="1"/>
    </xf>
    <xf numFmtId="0" fontId="23" fillId="0" borderId="8" xfId="0" applyFont="1" applyBorder="1" applyAlignment="1">
      <alignment wrapText="1"/>
    </xf>
    <xf numFmtId="0" fontId="2" fillId="0" borderId="7" xfId="0" applyFont="1" applyBorder="1" applyAlignment="1">
      <alignment horizontal="left" vertical="center" wrapText="1"/>
    </xf>
    <xf numFmtId="0" fontId="24" fillId="0" borderId="8" xfId="0" applyFont="1" applyBorder="1" applyAlignment="1">
      <alignment horizontal="left" vertical="center" wrapText="1"/>
    </xf>
    <xf numFmtId="0" fontId="9" fillId="0" borderId="8" xfId="0" applyFont="1" applyBorder="1" applyAlignment="1">
      <alignment horizontal="center" vertical="center"/>
    </xf>
    <xf numFmtId="0" fontId="18" fillId="11" borderId="8" xfId="0" applyFont="1" applyFill="1" applyBorder="1" applyAlignment="1">
      <alignment horizontal="center" vertical="center" wrapText="1"/>
    </xf>
    <xf numFmtId="0" fontId="25" fillId="2" borderId="0" xfId="0" applyFont="1" applyFill="1" applyAlignment="1"/>
    <xf numFmtId="0" fontId="26" fillId="12" borderId="8" xfId="0" applyFont="1" applyFill="1" applyBorder="1" applyAlignment="1">
      <alignment horizontal="left" vertical="center" wrapText="1"/>
    </xf>
    <xf numFmtId="0" fontId="27" fillId="0" borderId="8" xfId="0" applyFont="1" applyBorder="1" applyAlignment="1">
      <alignment horizontal="left" vertical="center" wrapText="1"/>
    </xf>
    <xf numFmtId="0" fontId="27" fillId="0" borderId="7" xfId="0" applyFont="1" applyBorder="1" applyAlignment="1">
      <alignment horizontal="left" vertical="center" wrapText="1"/>
    </xf>
    <xf numFmtId="0" fontId="27" fillId="2" borderId="7" xfId="0" applyFont="1" applyFill="1" applyBorder="1" applyAlignment="1">
      <alignment horizontal="left" vertical="center" wrapText="1"/>
    </xf>
    <xf numFmtId="0" fontId="2" fillId="0" borderId="7" xfId="0" applyFont="1" applyBorder="1" applyAlignment="1">
      <alignment horizontal="left" vertical="center" wrapText="1"/>
    </xf>
    <xf numFmtId="0" fontId="2" fillId="14" borderId="8" xfId="0" applyFont="1" applyFill="1" applyBorder="1" applyAlignment="1">
      <alignment horizontal="left" vertical="center" wrapText="1"/>
    </xf>
    <xf numFmtId="0" fontId="2" fillId="0" borderId="7" xfId="0" applyFont="1" applyBorder="1" applyAlignment="1">
      <alignment wrapText="1"/>
    </xf>
    <xf numFmtId="0" fontId="1" fillId="2" borderId="8" xfId="0" applyFont="1" applyFill="1" applyBorder="1" applyAlignment="1">
      <alignment horizontal="left" vertical="center" wrapText="1"/>
    </xf>
    <xf numFmtId="0" fontId="1" fillId="2" borderId="14" xfId="0" applyFont="1" applyFill="1" applyBorder="1" applyAlignment="1">
      <alignment vertical="center" wrapText="1"/>
    </xf>
    <xf numFmtId="0" fontId="22" fillId="13" borderId="8" xfId="0" applyFont="1" applyFill="1" applyBorder="1" applyAlignment="1">
      <alignment horizontal="center" vertical="center" wrapText="1"/>
    </xf>
    <xf numFmtId="0" fontId="1" fillId="2" borderId="14" xfId="0" applyFont="1" applyFill="1" applyBorder="1" applyAlignment="1">
      <alignment vertical="center" wrapText="1"/>
    </xf>
    <xf numFmtId="0" fontId="28" fillId="0" borderId="8" xfId="0" applyFont="1" applyBorder="1" applyAlignment="1">
      <alignment horizontal="left" vertical="center" wrapText="1"/>
    </xf>
    <xf numFmtId="0" fontId="29" fillId="0" borderId="8" xfId="0" applyFont="1" applyBorder="1" applyAlignment="1">
      <alignment vertical="center" wrapText="1"/>
    </xf>
    <xf numFmtId="0" fontId="10" fillId="0" borderId="0" xfId="0" applyFont="1" applyAlignment="1">
      <alignment vertical="center" wrapText="1"/>
    </xf>
    <xf numFmtId="0" fontId="29" fillId="2" borderId="8" xfId="0" applyFont="1" applyFill="1" applyBorder="1" applyAlignment="1">
      <alignment horizontal="left" vertical="center" wrapText="1"/>
    </xf>
    <xf numFmtId="0" fontId="2" fillId="0" borderId="8" xfId="0" applyFont="1" applyBorder="1" applyAlignment="1">
      <alignment wrapText="1"/>
    </xf>
    <xf numFmtId="0" fontId="2" fillId="0" borderId="8" xfId="0" applyFont="1" applyBorder="1" applyAlignment="1">
      <alignment vertical="center" wrapText="1"/>
    </xf>
    <xf numFmtId="0" fontId="2" fillId="0" borderId="7" xfId="0" applyFont="1" applyBorder="1" applyAlignment="1">
      <alignment vertical="center" wrapText="1"/>
    </xf>
    <xf numFmtId="0" fontId="1" fillId="0" borderId="8" xfId="0" applyFont="1" applyBorder="1" applyAlignment="1">
      <alignment horizontal="left" vertical="center" wrapText="1"/>
    </xf>
    <xf numFmtId="0" fontId="22" fillId="13" borderId="8"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26" fillId="2" borderId="15" xfId="0" applyFont="1" applyFill="1" applyBorder="1" applyAlignment="1">
      <alignment horizontal="left" vertical="center" wrapText="1"/>
    </xf>
    <xf numFmtId="0" fontId="24" fillId="0" borderId="8" xfId="0" applyFont="1" applyBorder="1" applyAlignment="1">
      <alignment vertical="center" wrapText="1"/>
    </xf>
    <xf numFmtId="0" fontId="26" fillId="2" borderId="7" xfId="0" applyFont="1" applyFill="1" applyBorder="1" applyAlignment="1">
      <alignment horizontal="left" vertical="center" wrapText="1"/>
    </xf>
    <xf numFmtId="0" fontId="26" fillId="0" borderId="7" xfId="0" applyFont="1" applyBorder="1" applyAlignment="1">
      <alignment horizontal="left" vertical="center" wrapText="1"/>
    </xf>
    <xf numFmtId="0" fontId="26" fillId="2" borderId="16" xfId="0" applyFont="1" applyFill="1" applyBorder="1" applyAlignment="1">
      <alignment horizontal="left" vertical="center" wrapText="1"/>
    </xf>
    <xf numFmtId="0" fontId="26" fillId="2" borderId="17" xfId="0" applyFont="1" applyFill="1" applyBorder="1" applyAlignment="1">
      <alignment horizontal="left" vertical="center" wrapText="1"/>
    </xf>
    <xf numFmtId="0" fontId="26" fillId="2" borderId="13" xfId="0" applyFont="1" applyFill="1" applyBorder="1" applyAlignment="1">
      <alignment horizontal="left" vertical="center" wrapText="1"/>
    </xf>
    <xf numFmtId="0" fontId="26" fillId="0" borderId="13" xfId="0" applyFont="1" applyBorder="1" applyAlignment="1">
      <alignment horizontal="left" vertical="center" wrapText="1"/>
    </xf>
    <xf numFmtId="0" fontId="26" fillId="2" borderId="15" xfId="0" applyFont="1" applyFill="1" applyBorder="1" applyAlignment="1">
      <alignment horizontal="left" vertical="center" wrapText="1"/>
    </xf>
    <xf numFmtId="0" fontId="26" fillId="0" borderId="16" xfId="0" applyFont="1" applyBorder="1" applyAlignment="1">
      <alignment horizontal="left" vertical="center" wrapText="1"/>
    </xf>
    <xf numFmtId="0" fontId="26" fillId="2" borderId="15" xfId="0" applyFont="1" applyFill="1" applyBorder="1" applyAlignment="1">
      <alignment horizontal="left" vertical="center" wrapText="1"/>
    </xf>
    <xf numFmtId="0" fontId="26" fillId="2" borderId="15" xfId="0" applyFont="1" applyFill="1" applyBorder="1" applyAlignment="1">
      <alignment horizontal="left" vertical="center" wrapText="1"/>
    </xf>
    <xf numFmtId="0" fontId="26" fillId="2" borderId="17" xfId="0" applyFont="1" applyFill="1" applyBorder="1" applyAlignment="1">
      <alignment horizontal="left" vertical="center" wrapText="1"/>
    </xf>
    <xf numFmtId="0" fontId="30" fillId="11" borderId="8" xfId="0" applyFont="1" applyFill="1" applyBorder="1" applyAlignment="1">
      <alignment horizontal="center" vertical="center" wrapText="1"/>
    </xf>
    <xf numFmtId="0" fontId="2" fillId="14" borderId="16" xfId="0" applyFont="1" applyFill="1" applyBorder="1" applyAlignment="1">
      <alignment horizontal="left" vertical="center" wrapText="1"/>
    </xf>
    <xf numFmtId="0" fontId="2" fillId="2" borderId="18" xfId="0" applyFont="1" applyFill="1" applyBorder="1" applyAlignment="1">
      <alignment horizontal="left" vertical="center" wrapText="1"/>
    </xf>
    <xf numFmtId="0" fontId="1" fillId="0" borderId="8" xfId="0" applyFont="1" applyBorder="1" applyAlignment="1">
      <alignment horizontal="center" vertical="center" wrapText="1"/>
    </xf>
    <xf numFmtId="0" fontId="1" fillId="2" borderId="8" xfId="0" applyFont="1" applyFill="1" applyBorder="1" applyAlignment="1">
      <alignment horizontal="center" vertical="center" wrapText="1"/>
    </xf>
    <xf numFmtId="0" fontId="29" fillId="2" borderId="14" xfId="0" applyFont="1" applyFill="1" applyBorder="1" applyAlignment="1">
      <alignment horizontal="left" vertical="center" wrapText="1"/>
    </xf>
    <xf numFmtId="0" fontId="29" fillId="2" borderId="17" xfId="0" applyFont="1" applyFill="1" applyBorder="1" applyAlignment="1">
      <alignment horizontal="left" vertical="center" wrapText="1"/>
    </xf>
    <xf numFmtId="0" fontId="29" fillId="2" borderId="15" xfId="0" applyFont="1" applyFill="1" applyBorder="1" applyAlignment="1">
      <alignment horizontal="left" vertical="center" wrapText="1"/>
    </xf>
    <xf numFmtId="0" fontId="29" fillId="2" borderId="13" xfId="0" applyFont="1" applyFill="1" applyBorder="1" applyAlignment="1">
      <alignment horizontal="left" vertical="center" wrapText="1"/>
    </xf>
    <xf numFmtId="0" fontId="29" fillId="0" borderId="13" xfId="0" applyFont="1" applyBorder="1" applyAlignment="1">
      <alignment horizontal="left" vertical="center" wrapText="1"/>
    </xf>
    <xf numFmtId="0" fontId="1" fillId="0" borderId="8" xfId="0" applyFont="1" applyBorder="1" applyAlignment="1">
      <alignment horizontal="left" vertical="center" wrapText="1"/>
    </xf>
    <xf numFmtId="0" fontId="30" fillId="11" borderId="8" xfId="0" applyFont="1" applyFill="1" applyBorder="1" applyAlignment="1">
      <alignment horizontal="center" vertical="center" wrapText="1"/>
    </xf>
    <xf numFmtId="0" fontId="2" fillId="2" borderId="14" xfId="0" applyFont="1" applyFill="1" applyBorder="1" applyAlignment="1">
      <alignment vertical="center" wrapText="1"/>
    </xf>
    <xf numFmtId="0" fontId="2" fillId="2" borderId="14" xfId="0" applyFont="1" applyFill="1" applyBorder="1" applyAlignment="1">
      <alignment vertical="center" wrapText="1"/>
    </xf>
    <xf numFmtId="0" fontId="1" fillId="0" borderId="8" xfId="0" applyFont="1" applyBorder="1" applyAlignment="1">
      <alignment vertical="center"/>
    </xf>
    <xf numFmtId="0" fontId="1" fillId="2" borderId="8" xfId="0" applyFont="1" applyFill="1" applyBorder="1" applyAlignment="1">
      <alignment vertical="center"/>
    </xf>
    <xf numFmtId="0" fontId="24" fillId="0" borderId="0" xfId="0" applyFont="1" applyAlignment="1">
      <alignment vertical="center" wrapText="1"/>
    </xf>
    <xf numFmtId="0" fontId="2" fillId="2" borderId="8" xfId="0" applyFont="1" applyFill="1" applyBorder="1" applyAlignment="1">
      <alignment vertical="center" wrapText="1"/>
    </xf>
    <xf numFmtId="0" fontId="2" fillId="2" borderId="7" xfId="0" applyFont="1" applyFill="1" applyBorder="1" applyAlignment="1">
      <alignment vertical="center" wrapText="1"/>
    </xf>
    <xf numFmtId="0" fontId="2" fillId="2" borderId="7" xfId="0" applyFont="1" applyFill="1" applyBorder="1" applyAlignment="1">
      <alignment vertical="center" wrapText="1"/>
    </xf>
    <xf numFmtId="0" fontId="1" fillId="0" borderId="8" xfId="0" applyFont="1" applyBorder="1" applyAlignment="1">
      <alignment vertical="center" wrapText="1"/>
    </xf>
    <xf numFmtId="0" fontId="2" fillId="2" borderId="8" xfId="0" applyFont="1" applyFill="1" applyBorder="1" applyAlignment="1">
      <alignment horizontal="left" vertical="center" wrapText="1"/>
    </xf>
    <xf numFmtId="0" fontId="1" fillId="2" borderId="8" xfId="0" applyFont="1" applyFill="1" applyBorder="1" applyAlignment="1">
      <alignment vertical="center" wrapText="1"/>
    </xf>
    <xf numFmtId="0" fontId="2" fillId="2" borderId="8" xfId="0" applyFont="1" applyFill="1" applyBorder="1" applyAlignment="1">
      <alignment vertical="center" wrapText="1"/>
    </xf>
    <xf numFmtId="0" fontId="1" fillId="0" borderId="8" xfId="0" applyFont="1" applyBorder="1" applyAlignment="1">
      <alignment vertical="center"/>
    </xf>
    <xf numFmtId="0" fontId="16" fillId="10" borderId="0" xfId="0" applyFont="1" applyFill="1" applyAlignment="1">
      <alignment horizontal="center" vertical="center" wrapText="1"/>
    </xf>
    <xf numFmtId="0" fontId="1" fillId="2" borderId="8" xfId="0" applyFont="1" applyFill="1" applyBorder="1"/>
    <xf numFmtId="0" fontId="1" fillId="0" borderId="8" xfId="0" applyFont="1" applyBorder="1" applyAlignment="1">
      <alignment horizontal="right"/>
    </xf>
    <xf numFmtId="0" fontId="16" fillId="10" borderId="0" xfId="0" applyFont="1" applyFill="1" applyAlignment="1">
      <alignment horizontal="center" vertical="center" wrapText="1"/>
    </xf>
    <xf numFmtId="0" fontId="1" fillId="0" borderId="0" xfId="0" applyFont="1" applyAlignment="1">
      <alignment vertical="center" wrapText="1"/>
    </xf>
    <xf numFmtId="0" fontId="9" fillId="11" borderId="8" xfId="0" applyFont="1" applyFill="1" applyBorder="1" applyAlignment="1">
      <alignment horizontal="center" vertical="center"/>
    </xf>
    <xf numFmtId="0" fontId="1" fillId="2" borderId="14" xfId="0" applyFont="1" applyFill="1" applyBorder="1" applyAlignment="1">
      <alignment vertical="center" wrapText="1"/>
    </xf>
    <xf numFmtId="0" fontId="9" fillId="0" borderId="8" xfId="0" applyFont="1" applyBorder="1" applyAlignment="1">
      <alignment horizontal="center" vertical="center"/>
    </xf>
    <xf numFmtId="0" fontId="2" fillId="0" borderId="0" xfId="0" applyFont="1" applyAlignment="1">
      <alignment vertical="center" wrapText="1"/>
    </xf>
    <xf numFmtId="0" fontId="9" fillId="11" borderId="8" xfId="0" applyFont="1" applyFill="1" applyBorder="1" applyAlignment="1">
      <alignment horizontal="center" vertical="center" wrapText="1"/>
    </xf>
    <xf numFmtId="0" fontId="2" fillId="0" borderId="0" xfId="0" applyFont="1" applyAlignment="1">
      <alignment horizontal="center" vertical="center" wrapText="1"/>
    </xf>
    <xf numFmtId="0" fontId="2" fillId="0" borderId="8" xfId="0" applyFont="1" applyBorder="1" applyAlignment="1">
      <alignment horizontal="center" vertical="center" wrapText="1"/>
    </xf>
    <xf numFmtId="0" fontId="1" fillId="2" borderId="14" xfId="0" applyFont="1" applyFill="1" applyBorder="1" applyAlignment="1">
      <alignment horizontal="left" vertical="center" wrapText="1"/>
    </xf>
    <xf numFmtId="0" fontId="2" fillId="0" borderId="0" xfId="0" applyFont="1" applyAlignment="1">
      <alignment vertical="center"/>
    </xf>
    <xf numFmtId="0" fontId="1" fillId="2" borderId="14" xfId="0" applyFont="1" applyFill="1" applyBorder="1" applyAlignment="1">
      <alignment vertical="center"/>
    </xf>
    <xf numFmtId="0" fontId="2" fillId="0" borderId="0" xfId="0" applyFont="1"/>
    <xf numFmtId="0" fontId="31" fillId="0" borderId="0" xfId="0" applyFont="1" applyAlignment="1">
      <alignment wrapText="1"/>
    </xf>
    <xf numFmtId="0" fontId="2" fillId="0" borderId="0" xfId="0" applyFont="1" applyAlignment="1">
      <alignment wrapText="1"/>
    </xf>
    <xf numFmtId="0" fontId="32" fillId="0" borderId="0" xfId="0" applyFont="1" applyAlignment="1">
      <alignment wrapText="1"/>
    </xf>
    <xf numFmtId="0" fontId="33" fillId="0" borderId="0" xfId="0" applyFont="1" applyAlignment="1">
      <alignment wrapText="1"/>
    </xf>
    <xf numFmtId="0" fontId="2" fillId="0" borderId="0" xfId="0" applyFont="1" applyAlignment="1">
      <alignment horizontal="center" wrapText="1"/>
    </xf>
    <xf numFmtId="0" fontId="1" fillId="0" borderId="0" xfId="0" applyFont="1" applyAlignment="1">
      <alignment horizontal="center" wrapText="1"/>
    </xf>
    <xf numFmtId="0" fontId="16" fillId="11" borderId="8" xfId="0" applyFont="1" applyFill="1" applyBorder="1" applyAlignment="1">
      <alignment horizontal="center" vertical="center" wrapText="1"/>
    </xf>
    <xf numFmtId="0" fontId="1" fillId="2" borderId="7" xfId="0" applyFont="1" applyFill="1" applyBorder="1" applyAlignment="1">
      <alignment vertical="center" wrapText="1"/>
    </xf>
    <xf numFmtId="0" fontId="29" fillId="2" borderId="16" xfId="0" applyFont="1" applyFill="1" applyBorder="1" applyAlignment="1">
      <alignment horizontal="left" vertical="center" wrapText="1"/>
    </xf>
    <xf numFmtId="0" fontId="34" fillId="0" borderId="8" xfId="0" applyFont="1" applyBorder="1" applyAlignment="1">
      <alignment horizontal="center" vertical="center" wrapText="1"/>
    </xf>
    <xf numFmtId="0" fontId="34" fillId="0" borderId="8" xfId="0" applyFont="1" applyBorder="1" applyAlignment="1">
      <alignment horizontal="left" wrapText="1"/>
    </xf>
    <xf numFmtId="0" fontId="2" fillId="0" borderId="8" xfId="0" applyFont="1" applyBorder="1" applyAlignment="1">
      <alignment wrapText="1"/>
    </xf>
    <xf numFmtId="0" fontId="9" fillId="0" borderId="8" xfId="0" applyFont="1" applyBorder="1" applyAlignment="1">
      <alignment horizontal="center" vertical="center" wrapText="1"/>
    </xf>
    <xf numFmtId="0" fontId="30" fillId="11" borderId="8" xfId="0" applyFont="1" applyFill="1" applyBorder="1" applyAlignment="1">
      <alignment vertical="center" wrapText="1"/>
    </xf>
    <xf numFmtId="0" fontId="2" fillId="0" borderId="8" xfId="0" applyFont="1" applyBorder="1" applyAlignment="1">
      <alignment horizontal="center" vertical="center"/>
    </xf>
    <xf numFmtId="0" fontId="1" fillId="0" borderId="0" xfId="0" applyFont="1" applyAlignment="1">
      <alignment wrapText="1"/>
    </xf>
    <xf numFmtId="0" fontId="2" fillId="0" borderId="0" xfId="0" applyFont="1" applyAlignment="1">
      <alignment wrapText="1"/>
    </xf>
    <xf numFmtId="0" fontId="34" fillId="0" borderId="8" xfId="0" applyFont="1" applyBorder="1" applyAlignment="1">
      <alignment vertical="top" wrapText="1"/>
    </xf>
    <xf numFmtId="0" fontId="34" fillId="0" borderId="8" xfId="0" applyFont="1" applyBorder="1" applyAlignment="1">
      <alignment wrapText="1"/>
    </xf>
    <xf numFmtId="0" fontId="2" fillId="0" borderId="8" xfId="0" applyFont="1" applyBorder="1" applyAlignment="1">
      <alignment vertical="top" wrapText="1"/>
    </xf>
    <xf numFmtId="0" fontId="35" fillId="0" borderId="8" xfId="0" applyFont="1" applyBorder="1" applyAlignment="1">
      <alignment vertical="top" wrapText="1"/>
    </xf>
    <xf numFmtId="0" fontId="26" fillId="0" borderId="8" xfId="0" applyFont="1" applyBorder="1" applyAlignment="1">
      <alignment horizontal="center" vertical="center" wrapText="1"/>
    </xf>
    <xf numFmtId="0" fontId="26" fillId="0" borderId="8" xfId="0" applyFont="1" applyBorder="1" applyAlignment="1">
      <alignment horizontal="left" wrapText="1"/>
    </xf>
    <xf numFmtId="0" fontId="9" fillId="15" borderId="8" xfId="0" applyFont="1" applyFill="1" applyBorder="1" applyAlignment="1">
      <alignment horizontal="center" wrapText="1"/>
    </xf>
    <xf numFmtId="0" fontId="30" fillId="0" borderId="8" xfId="0" applyFont="1" applyBorder="1" applyAlignment="1">
      <alignment horizontal="center" wrapText="1"/>
    </xf>
    <xf numFmtId="0" fontId="2" fillId="0" borderId="8" xfId="0" applyFont="1" applyBorder="1" applyAlignment="1">
      <alignment vertical="top"/>
    </xf>
    <xf numFmtId="0" fontId="2" fillId="0" borderId="8" xfId="0" applyFont="1" applyBorder="1" applyAlignment="1">
      <alignment vertical="top" wrapText="1"/>
    </xf>
    <xf numFmtId="0" fontId="2" fillId="0" borderId="8" xfId="0" applyFont="1" applyBorder="1" applyAlignment="1"/>
    <xf numFmtId="0" fontId="34" fillId="2" borderId="8" xfId="0" applyFont="1" applyFill="1" applyBorder="1" applyAlignment="1">
      <alignment vertical="top" wrapText="1"/>
    </xf>
    <xf numFmtId="0" fontId="34" fillId="2" borderId="0" xfId="0" applyFont="1" applyFill="1" applyAlignment="1">
      <alignment wrapText="1"/>
    </xf>
    <xf numFmtId="0" fontId="36" fillId="2" borderId="8" xfId="0" applyFont="1" applyFill="1" applyBorder="1" applyAlignment="1">
      <alignment horizontal="center" vertical="center" wrapText="1"/>
    </xf>
    <xf numFmtId="0" fontId="34" fillId="2" borderId="8" xfId="0" applyFont="1" applyFill="1" applyBorder="1" applyAlignment="1">
      <alignment horizontal="center" vertical="center"/>
    </xf>
    <xf numFmtId="0" fontId="34" fillId="2" borderId="8" xfId="0" applyFont="1" applyFill="1" applyBorder="1" applyAlignment="1">
      <alignment wrapText="1"/>
    </xf>
    <xf numFmtId="0" fontId="37" fillId="2" borderId="8" xfId="0" applyFont="1" applyFill="1" applyBorder="1" applyAlignment="1">
      <alignment horizontal="center" vertical="center" wrapText="1"/>
    </xf>
    <xf numFmtId="0" fontId="34" fillId="2" borderId="8" xfId="0" applyFont="1" applyFill="1" applyBorder="1" applyAlignment="1">
      <alignment wrapText="1"/>
    </xf>
    <xf numFmtId="0" fontId="38" fillId="2" borderId="0" xfId="0" applyFont="1" applyFill="1" applyAlignment="1">
      <alignment wrapText="1"/>
    </xf>
    <xf numFmtId="0" fontId="34" fillId="0" borderId="0" xfId="0" applyFont="1" applyAlignment="1">
      <alignment wrapText="1"/>
    </xf>
    <xf numFmtId="0" fontId="36" fillId="13" borderId="8" xfId="0" applyFont="1" applyFill="1" applyBorder="1" applyAlignment="1">
      <alignment horizontal="center" vertical="center" wrapText="1"/>
    </xf>
    <xf numFmtId="0" fontId="34" fillId="0" borderId="8" xfId="0" applyFont="1" applyBorder="1" applyAlignment="1">
      <alignment horizontal="center" vertical="center"/>
    </xf>
    <xf numFmtId="0" fontId="34" fillId="0" borderId="8" xfId="0" applyFont="1" applyBorder="1" applyAlignment="1">
      <alignment wrapText="1"/>
    </xf>
    <xf numFmtId="0" fontId="38" fillId="0" borderId="0" xfId="0" applyFont="1" applyAlignment="1">
      <alignment wrapText="1"/>
    </xf>
    <xf numFmtId="0" fontId="2" fillId="0" borderId="8" xfId="0" applyFont="1" applyBorder="1" applyAlignment="1">
      <alignment horizontal="left" vertical="top" wrapText="1"/>
    </xf>
    <xf numFmtId="0" fontId="2" fillId="16" borderId="8" xfId="0" applyFont="1" applyFill="1" applyBorder="1" applyAlignment="1">
      <alignment horizontal="center" vertical="center" wrapText="1"/>
    </xf>
    <xf numFmtId="0" fontId="39" fillId="0" borderId="0" xfId="0" applyFont="1" applyAlignment="1">
      <alignment wrapText="1"/>
    </xf>
    <xf numFmtId="0" fontId="1" fillId="13" borderId="8" xfId="0" applyFont="1" applyFill="1" applyBorder="1" applyAlignment="1">
      <alignment wrapText="1"/>
    </xf>
    <xf numFmtId="0" fontId="1" fillId="0" borderId="8" xfId="0" applyFont="1" applyBorder="1" applyAlignment="1">
      <alignment wrapText="1"/>
    </xf>
    <xf numFmtId="0" fontId="40" fillId="11" borderId="8" xfId="0" applyFont="1" applyFill="1" applyBorder="1" applyAlignment="1">
      <alignment horizontal="center" wrapText="1"/>
    </xf>
    <xf numFmtId="0" fontId="29" fillId="2" borderId="14" xfId="0" applyFont="1" applyFill="1" applyBorder="1" applyAlignment="1">
      <alignment horizontal="left" vertical="center" wrapText="1"/>
    </xf>
    <xf numFmtId="0" fontId="29" fillId="2" borderId="15" xfId="0" applyFont="1" applyFill="1" applyBorder="1" applyAlignment="1">
      <alignment horizontal="left" vertical="center" wrapText="1"/>
    </xf>
    <xf numFmtId="0" fontId="29" fillId="2" borderId="16" xfId="0" applyFont="1" applyFill="1" applyBorder="1" applyAlignment="1">
      <alignment horizontal="center" vertical="center" wrapText="1"/>
    </xf>
    <xf numFmtId="0" fontId="41" fillId="2" borderId="15" xfId="0" applyFont="1" applyFill="1" applyBorder="1" applyAlignment="1">
      <alignment horizontal="left" vertical="center" wrapText="1"/>
    </xf>
    <xf numFmtId="0" fontId="40" fillId="11" borderId="8" xfId="0" applyFont="1" applyFill="1" applyBorder="1" applyAlignment="1">
      <alignment horizontal="center" vertical="center" wrapText="1"/>
    </xf>
    <xf numFmtId="0" fontId="42" fillId="2" borderId="15" xfId="0" applyFont="1" applyFill="1" applyBorder="1" applyAlignment="1">
      <alignment horizontal="left" vertical="center" wrapText="1"/>
    </xf>
    <xf numFmtId="0" fontId="2" fillId="0" borderId="16" xfId="0" applyFont="1" applyBorder="1" applyAlignment="1">
      <alignment horizontal="center" vertical="center" wrapText="1"/>
    </xf>
    <xf numFmtId="0" fontId="2" fillId="0" borderId="13" xfId="0" applyFont="1" applyBorder="1" applyAlignment="1">
      <alignment vertical="center" wrapText="1"/>
    </xf>
    <xf numFmtId="0" fontId="1" fillId="0" borderId="8" xfId="0" applyFont="1" applyBorder="1" applyAlignment="1">
      <alignment horizontal="left" vertical="top" wrapText="1"/>
    </xf>
    <xf numFmtId="0" fontId="29" fillId="2" borderId="8" xfId="0" applyFont="1" applyFill="1" applyBorder="1" applyAlignment="1">
      <alignment horizontal="left" vertical="top" wrapText="1"/>
    </xf>
    <xf numFmtId="0" fontId="1" fillId="2" borderId="8" xfId="0" applyFont="1" applyFill="1" applyBorder="1" applyAlignment="1">
      <alignment horizontal="center" wrapText="1"/>
    </xf>
    <xf numFmtId="0" fontId="1" fillId="0" borderId="8" xfId="0" applyFont="1" applyBorder="1" applyAlignment="1">
      <alignment horizontal="left" vertical="top" wrapText="1"/>
    </xf>
    <xf numFmtId="0" fontId="29" fillId="2" borderId="8" xfId="0" applyFont="1" applyFill="1" applyBorder="1" applyAlignment="1">
      <alignment horizontal="left" vertical="top" wrapText="1"/>
    </xf>
    <xf numFmtId="0" fontId="1" fillId="0" borderId="8" xfId="0" applyFont="1" applyBorder="1" applyAlignment="1">
      <alignment horizontal="center" wrapText="1"/>
    </xf>
    <xf numFmtId="0" fontId="29" fillId="0" borderId="8" xfId="0" applyFont="1" applyBorder="1" applyAlignment="1">
      <alignment horizontal="center" vertical="center" wrapText="1"/>
    </xf>
    <xf numFmtId="0" fontId="29" fillId="0" borderId="8" xfId="0" applyFont="1" applyBorder="1" applyAlignment="1">
      <alignment horizontal="left" vertical="top" wrapText="1"/>
    </xf>
    <xf numFmtId="0" fontId="29" fillId="2" borderId="8" xfId="0" applyFont="1" applyFill="1" applyBorder="1" applyAlignment="1">
      <alignment horizontal="center" vertical="center" wrapText="1"/>
    </xf>
    <xf numFmtId="0" fontId="2" fillId="0" borderId="8" xfId="0" applyFont="1" applyBorder="1" applyAlignment="1">
      <alignment vertical="center" wrapText="1"/>
    </xf>
    <xf numFmtId="0" fontId="43" fillId="0" borderId="8" xfId="0" applyFont="1" applyBorder="1" applyAlignment="1">
      <alignment vertical="center" wrapText="1"/>
    </xf>
    <xf numFmtId="0" fontId="44" fillId="0" borderId="8" xfId="0" applyFont="1" applyBorder="1" applyAlignment="1">
      <alignment vertical="center" wrapText="1"/>
    </xf>
    <xf numFmtId="0" fontId="1" fillId="0" borderId="8" xfId="0" applyFont="1" applyBorder="1"/>
    <xf numFmtId="0" fontId="45" fillId="2" borderId="8" xfId="0" applyFont="1" applyFill="1" applyBorder="1" applyAlignment="1">
      <alignment horizontal="left" vertical="center" wrapText="1"/>
    </xf>
    <xf numFmtId="0" fontId="46" fillId="0" borderId="8" xfId="0" applyFont="1" applyBorder="1" applyAlignment="1">
      <alignment vertical="center" wrapText="1"/>
    </xf>
    <xf numFmtId="0" fontId="2" fillId="0" borderId="8" xfId="0" applyFont="1" applyBorder="1" applyAlignment="1">
      <alignment vertical="top"/>
    </xf>
    <xf numFmtId="0" fontId="1" fillId="17" borderId="8" xfId="0" applyFont="1" applyFill="1" applyBorder="1" applyAlignment="1">
      <alignment horizontal="center" vertical="center"/>
    </xf>
    <xf numFmtId="0" fontId="1" fillId="17" borderId="8" xfId="0" applyFont="1" applyFill="1" applyBorder="1" applyAlignment="1">
      <alignment horizontal="center" vertical="center" wrapText="1"/>
    </xf>
    <xf numFmtId="0" fontId="1" fillId="13" borderId="8" xfId="0" applyFont="1" applyFill="1" applyBorder="1" applyAlignment="1">
      <alignment horizontal="center" vertical="center"/>
    </xf>
    <xf numFmtId="0" fontId="1" fillId="0" borderId="8" xfId="0" applyFont="1" applyBorder="1" applyAlignment="1">
      <alignment horizontal="left" vertical="center"/>
    </xf>
    <xf numFmtId="0" fontId="16" fillId="10" borderId="1" xfId="0" applyFont="1" applyFill="1" applyBorder="1" applyAlignment="1">
      <alignment horizontal="center" vertical="center" wrapText="1"/>
    </xf>
    <xf numFmtId="0" fontId="29" fillId="2" borderId="8" xfId="0" applyFont="1" applyFill="1" applyBorder="1" applyAlignment="1">
      <alignment horizontal="left" wrapText="1"/>
    </xf>
    <xf numFmtId="0" fontId="47" fillId="0" borderId="0" xfId="0" applyFont="1"/>
    <xf numFmtId="0" fontId="1" fillId="18" borderId="1" xfId="0" applyFont="1" applyFill="1" applyBorder="1"/>
    <xf numFmtId="0" fontId="48" fillId="0" borderId="0" xfId="0" applyFont="1"/>
    <xf numFmtId="0" fontId="49" fillId="0" borderId="0" xfId="0" applyFont="1"/>
    <xf numFmtId="0" fontId="48" fillId="19" borderId="1" xfId="0" applyFont="1" applyFill="1" applyBorder="1"/>
    <xf numFmtId="0" fontId="50" fillId="0" borderId="0" xfId="0" applyFont="1"/>
    <xf numFmtId="0" fontId="1" fillId="0" borderId="5" xfId="0" applyFont="1" applyBorder="1" applyAlignment="1">
      <alignment horizontal="left" vertical="center"/>
    </xf>
    <xf numFmtId="0" fontId="1" fillId="20" borderId="8" xfId="0" applyFont="1" applyFill="1" applyBorder="1"/>
    <xf numFmtId="0" fontId="1" fillId="21" borderId="8" xfId="0" applyFont="1" applyFill="1" applyBorder="1"/>
    <xf numFmtId="0" fontId="1" fillId="4" borderId="8" xfId="0" applyFont="1" applyFill="1" applyBorder="1"/>
    <xf numFmtId="0" fontId="1" fillId="20" borderId="8" xfId="0" applyFont="1" applyFill="1" applyBorder="1" applyAlignment="1">
      <alignment wrapText="1"/>
    </xf>
    <xf numFmtId="0" fontId="1" fillId="21" borderId="8" xfId="0" applyFont="1" applyFill="1" applyBorder="1" applyAlignment="1">
      <alignment wrapText="1"/>
    </xf>
    <xf numFmtId="0" fontId="1" fillId="4" borderId="8" xfId="0" applyFont="1" applyFill="1" applyBorder="1" applyAlignment="1">
      <alignment wrapText="1"/>
    </xf>
    <xf numFmtId="0" fontId="1" fillId="0" borderId="8" xfId="0" applyFont="1" applyBorder="1" applyAlignment="1">
      <alignment horizontal="left"/>
    </xf>
    <xf numFmtId="0" fontId="1" fillId="0" borderId="0" xfId="0" applyFont="1" applyAlignment="1">
      <alignment horizontal="left" vertical="center"/>
    </xf>
    <xf numFmtId="0" fontId="52" fillId="0" borderId="8" xfId="0" applyFont="1" applyBorder="1" applyAlignment="1">
      <alignment horizontal="center" vertical="center" wrapText="1"/>
    </xf>
    <xf numFmtId="0" fontId="53" fillId="11" borderId="8" xfId="0" applyFont="1" applyFill="1" applyBorder="1" applyAlignment="1">
      <alignment horizontal="center" vertical="center" wrapText="1"/>
    </xf>
    <xf numFmtId="0" fontId="9" fillId="0" borderId="20" xfId="0" applyFont="1" applyFill="1" applyBorder="1" applyAlignment="1">
      <alignment horizontal="center" vertical="center"/>
    </xf>
    <xf numFmtId="0" fontId="1" fillId="3" borderId="2" xfId="0" applyFont="1" applyFill="1" applyBorder="1" applyAlignment="1">
      <alignment horizontal="left" wrapText="1"/>
    </xf>
    <xf numFmtId="0" fontId="3" fillId="0" borderId="3" xfId="0" applyFont="1" applyBorder="1"/>
    <xf numFmtId="0" fontId="3" fillId="0" borderId="4" xfId="0" applyFont="1" applyBorder="1"/>
    <xf numFmtId="0" fontId="1" fillId="4" borderId="5" xfId="0" applyFont="1" applyFill="1" applyBorder="1" applyAlignment="1">
      <alignment horizontal="center"/>
    </xf>
    <xf numFmtId="0" fontId="3" fillId="0" borderId="6" xfId="0" applyFont="1" applyBorder="1"/>
    <xf numFmtId="0" fontId="3" fillId="0" borderId="7" xfId="0" applyFont="1" applyBorder="1"/>
    <xf numFmtId="0" fontId="10" fillId="0" borderId="5" xfId="0" applyFont="1" applyBorder="1" applyAlignment="1">
      <alignment horizontal="center"/>
    </xf>
    <xf numFmtId="0" fontId="11" fillId="0" borderId="10" xfId="0" applyFont="1" applyBorder="1" applyAlignment="1">
      <alignment horizontal="center" vertical="center"/>
    </xf>
    <xf numFmtId="0" fontId="3" fillId="0" borderId="11" xfId="0" applyFont="1" applyBorder="1"/>
    <xf numFmtId="0" fontId="3" fillId="0" borderId="12" xfId="0" applyFont="1" applyBorder="1"/>
    <xf numFmtId="0" fontId="3" fillId="0" borderId="13" xfId="0" applyFont="1" applyBorder="1"/>
    <xf numFmtId="0" fontId="1" fillId="3" borderId="2" xfId="0" applyFont="1" applyFill="1" applyBorder="1" applyAlignment="1">
      <alignment horizontal="center" wrapText="1"/>
    </xf>
    <xf numFmtId="0" fontId="16" fillId="10" borderId="5" xfId="0" applyFont="1" applyFill="1" applyBorder="1" applyAlignment="1">
      <alignment horizontal="center" vertical="center" wrapText="1"/>
    </xf>
    <xf numFmtId="0" fontId="19" fillId="12" borderId="9" xfId="0" applyFont="1" applyFill="1" applyBorder="1" applyAlignment="1">
      <alignment horizontal="center" vertical="center"/>
    </xf>
    <xf numFmtId="0" fontId="19" fillId="12" borderId="17" xfId="0" applyFont="1" applyFill="1" applyBorder="1" applyAlignment="1">
      <alignment horizontal="center" vertical="center"/>
    </xf>
    <xf numFmtId="0" fontId="19" fillId="12" borderId="20" xfId="0" applyFont="1" applyFill="1" applyBorder="1" applyAlignment="1">
      <alignment horizontal="center" vertical="center"/>
    </xf>
    <xf numFmtId="0" fontId="0" fillId="0" borderId="0" xfId="0" applyFont="1" applyAlignment="1"/>
    <xf numFmtId="0" fontId="19" fillId="0" borderId="20" xfId="0" applyFont="1" applyBorder="1" applyAlignment="1">
      <alignment horizontal="center" vertical="center"/>
    </xf>
    <xf numFmtId="0" fontId="19" fillId="0" borderId="17" xfId="0" applyFont="1" applyBorder="1" applyAlignment="1">
      <alignment horizontal="center" vertical="center"/>
    </xf>
    <xf numFmtId="0" fontId="2" fillId="0" borderId="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0" xfId="0" applyFont="1" applyBorder="1" applyAlignment="1">
      <alignment horizontal="center" vertical="center" wrapText="1"/>
    </xf>
    <xf numFmtId="0" fontId="29" fillId="2" borderId="20" xfId="0" applyFont="1" applyFill="1" applyBorder="1" applyAlignment="1">
      <alignment horizontal="center" vertical="center" wrapText="1"/>
    </xf>
    <xf numFmtId="0" fontId="3" fillId="0" borderId="19" xfId="0" applyFont="1" applyBorder="1"/>
    <xf numFmtId="0" fontId="3" fillId="0" borderId="16" xfId="0" applyFont="1" applyBorder="1"/>
    <xf numFmtId="0" fontId="29" fillId="2" borderId="9" xfId="0" applyFont="1" applyFill="1" applyBorder="1" applyAlignment="1">
      <alignment horizontal="center" vertical="center" wrapText="1"/>
    </xf>
    <xf numFmtId="0" fontId="1" fillId="21" borderId="5" xfId="0" applyFont="1" applyFill="1" applyBorder="1" applyAlignment="1">
      <alignment horizontal="center"/>
    </xf>
    <xf numFmtId="0" fontId="1" fillId="20" borderId="5" xfId="0" applyFont="1" applyFill="1" applyBorder="1" applyAlignment="1">
      <alignment horizontal="center"/>
    </xf>
  </cellXfs>
  <cellStyles count="1">
    <cellStyle name="Normal" xfId="0" builtinId="0"/>
  </cellStyles>
  <dxfs count="26">
    <dxf>
      <font>
        <color rgb="FF9C0006"/>
      </font>
      <fill>
        <patternFill patternType="solid">
          <fgColor rgb="FFFFC7CE"/>
          <bgColor rgb="FFFFC7CE"/>
        </patternFill>
      </fill>
    </dxf>
    <dxf>
      <font>
        <color rgb="FF9C6500"/>
      </font>
      <fill>
        <patternFill patternType="solid">
          <fgColor rgb="FFFFEB9C"/>
          <bgColor rgb="FFFFEB9C"/>
        </patternFill>
      </fill>
    </dxf>
    <dxf>
      <fill>
        <patternFill patternType="solid">
          <fgColor rgb="FF8DB3E2"/>
          <bgColor rgb="FF8DB3E2"/>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ill>
        <patternFill patternType="solid">
          <fgColor rgb="FF8DB3E2"/>
          <bgColor rgb="FF8DB3E2"/>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8DB3E2"/>
          <bgColor rgb="FF8DB3E2"/>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ill>
        <patternFill patternType="solid">
          <fgColor rgb="FF8DB3E2"/>
          <bgColor rgb="FF8DB3E2"/>
        </patternFill>
      </fill>
    </dxf>
    <dxf>
      <font>
        <color rgb="FF006100"/>
      </font>
      <fill>
        <patternFill patternType="solid">
          <fgColor rgb="FFC6EFCE"/>
          <bgColor rgb="FFC6EFCE"/>
        </patternFill>
      </fill>
    </dxf>
    <dxf>
      <fill>
        <patternFill patternType="solid">
          <fgColor rgb="FFF4C7C3"/>
          <bgColor rgb="FFF4C7C3"/>
        </patternFill>
      </fill>
    </dxf>
    <dxf>
      <fill>
        <patternFill patternType="solid">
          <fgColor rgb="FFB7E1CD"/>
          <bgColor rgb="FFB7E1CD"/>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ill>
        <patternFill patternType="solid">
          <fgColor rgb="FF8DB3E2"/>
          <bgColor rgb="FF8DB3E2"/>
        </patternFill>
      </fill>
    </dxf>
    <dxf>
      <font>
        <color rgb="FF006100"/>
      </font>
      <fill>
        <patternFill patternType="solid">
          <fgColor rgb="FFC6EFCE"/>
          <bgColor rgb="FFC6EFCE"/>
        </patternFill>
      </fill>
    </dxf>
    <dxf>
      <fill>
        <patternFill patternType="solid">
          <fgColor rgb="FFB7E1CD"/>
          <bgColor rgb="FFB7E1CD"/>
        </patternFill>
      </fill>
    </dxf>
    <dxf>
      <fill>
        <patternFill patternType="solid">
          <fgColor rgb="FF9BBB59"/>
          <bgColor rgb="FF9BBB59"/>
        </patternFill>
      </fill>
    </dxf>
    <dxf>
      <fill>
        <patternFill patternType="solid">
          <fgColor rgb="FFF79646"/>
          <bgColor rgb="FFF79646"/>
        </patternFill>
      </fill>
    </dxf>
    <dxf>
      <fill>
        <patternFill patternType="solid">
          <fgColor rgb="FFF45F5F"/>
          <bgColor rgb="FFF45F5F"/>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Hierarchy_Creation"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_Control"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ome_Page"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looHierarchy_edit_delete"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dd_Switchboard"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onnectivity"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nalytic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etting%20&amp;%20Profile"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otification"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airing"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cheduler"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art_Scene_Creation"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evice_Settings_Duplicate"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ulti_Device"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Invcuser_71/Documents/Switch_ON/OFF"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evice_Setting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 Hierarchy_Creation"/>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User_Control"/>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Home_Page"/>
    </sheetNames>
    <sheetDataSet>
      <sheetData sheetId="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FlooHierarchy_edit_delete"/>
    </sheetNames>
    <sheetDataSet>
      <sheetData sheetId="0"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Add_Switchboard"/>
    </sheetNames>
    <sheetDataSet>
      <sheetData sheetId="0"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nnectivity"/>
    </sheetNames>
    <sheetDataSet>
      <sheetData sheetId="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Analytics"/>
    </sheetNames>
    <sheetDataSet>
      <sheetData sheetId="0"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Setting &amp; Profile"/>
    </sheetNames>
    <sheetDataSet>
      <sheetData sheetId="0"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Notification"/>
    </sheetNames>
    <sheetDataSet>
      <sheetData sheetId="0"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Pairing"/>
    </sheetNames>
    <sheetDataSet>
      <sheetData sheetId="0"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Scheduler"/>
    </sheetNames>
    <sheetDataSet>
      <sheetData sheetId="0"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Smart_Scene_Creation"/>
    </sheetNames>
    <sheetDataSet>
      <sheetData sheetId="0"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Device_Settings_Duplicate"/>
    </sheetNames>
    <sheetDataSet>
      <sheetData sheetId="0"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Multi_Device"/>
    </sheetNames>
    <sheetDataSet>
      <sheetData sheetId="0"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OFF"/>
    </sheetNames>
    <sheetDataSet>
      <sheetData sheetId="0"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Device_Settings"/>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F4CCCC"/>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192.168.10.128:81/issues/15915" TargetMode="External"/><Relationship Id="rId1" Type="http://schemas.openxmlformats.org/officeDocument/2006/relationships/hyperlink" Target="https://192.168.10.128:81/issues/15913"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192.168.10.2:82/svn/iinvsys_sw/trunk/device/mscs_dev_sw/dev" TargetMode="External"/></Relationships>
</file>

<file path=xl/worksheets/sheet1.xml><?xml version="1.0" encoding="utf-8"?>
<worksheet xmlns="http://schemas.openxmlformats.org/spreadsheetml/2006/main" xmlns:r="http://schemas.openxmlformats.org/officeDocument/2006/relationships">
  <dimension ref="A1:Z1013"/>
  <sheetViews>
    <sheetView workbookViewId="0">
      <pane ySplit="5" topLeftCell="A18" activePane="bottomLeft" state="frozen"/>
      <selection pane="bottomLeft" activeCell="B7" sqref="B7"/>
    </sheetView>
  </sheetViews>
  <sheetFormatPr defaultColWidth="12.59765625" defaultRowHeight="15" customHeight="1"/>
  <cols>
    <col min="1" max="1" width="7.59765625" customWidth="1"/>
    <col min="2" max="2" width="7" customWidth="1"/>
    <col min="3" max="3" width="27.5" customWidth="1"/>
    <col min="4" max="4" width="9.69921875" customWidth="1"/>
    <col min="5" max="5" width="8.5" customWidth="1"/>
    <col min="6" max="6" width="8.09765625" customWidth="1"/>
    <col min="7" max="9" width="7.59765625" customWidth="1"/>
    <col min="11" max="11" width="10.69921875" customWidth="1"/>
    <col min="12" max="12" width="20.5" customWidth="1"/>
    <col min="13" max="13" width="14.59765625" customWidth="1"/>
    <col min="14" max="14" width="14.5" customWidth="1"/>
    <col min="15" max="15" width="14.3984375" customWidth="1"/>
    <col min="16" max="17" width="13.5" customWidth="1"/>
  </cols>
  <sheetData>
    <row r="1" spans="1:26" ht="14.4">
      <c r="A1" s="1" t="s">
        <v>0</v>
      </c>
      <c r="J1" s="2"/>
    </row>
    <row r="2" spans="1:26" ht="41.25" customHeight="1">
      <c r="B2" s="219" t="s">
        <v>1</v>
      </c>
      <c r="C2" s="220"/>
      <c r="D2" s="220"/>
      <c r="E2" s="221"/>
      <c r="I2" s="3"/>
    </row>
    <row r="3" spans="1:26" ht="14.4">
      <c r="E3" s="4"/>
      <c r="I3" s="3"/>
      <c r="L3" s="1"/>
      <c r="M3" s="1"/>
      <c r="N3" s="1"/>
    </row>
    <row r="4" spans="1:26" ht="14.4">
      <c r="E4" s="222" t="s">
        <v>2</v>
      </c>
      <c r="F4" s="223"/>
      <c r="G4" s="223"/>
      <c r="H4" s="223"/>
      <c r="I4" s="224"/>
      <c r="L4" s="1"/>
      <c r="M4" s="1"/>
      <c r="N4" s="1"/>
    </row>
    <row r="5" spans="1:26" ht="14.4">
      <c r="B5" s="5" t="s">
        <v>3</v>
      </c>
      <c r="C5" s="5" t="s">
        <v>4</v>
      </c>
      <c r="D5" s="5" t="s">
        <v>5</v>
      </c>
      <c r="E5" s="6" t="s">
        <v>6</v>
      </c>
      <c r="F5" s="7" t="s">
        <v>7</v>
      </c>
      <c r="G5" s="8" t="s">
        <v>8</v>
      </c>
      <c r="H5" s="9" t="s">
        <v>9</v>
      </c>
      <c r="I5" s="5" t="s">
        <v>10</v>
      </c>
      <c r="K5" s="5" t="s">
        <v>11</v>
      </c>
      <c r="L5" s="5" t="s">
        <v>4</v>
      </c>
      <c r="M5" s="5" t="s">
        <v>12</v>
      </c>
      <c r="N5" s="5" t="s">
        <v>13</v>
      </c>
      <c r="O5" s="5" t="s">
        <v>14</v>
      </c>
      <c r="P5" s="10" t="s">
        <v>15</v>
      </c>
      <c r="Q5" s="10" t="s">
        <v>16</v>
      </c>
    </row>
    <row r="6" spans="1:26" ht="17.399999999999999">
      <c r="B6" s="11">
        <v>1</v>
      </c>
      <c r="C6" s="12" t="s">
        <v>17</v>
      </c>
      <c r="D6" s="13" t="e">
        <f>Automation!F149</f>
        <v>#REF!</v>
      </c>
      <c r="E6" s="13" t="e">
        <f>Automation!F148</f>
        <v>#REF!</v>
      </c>
      <c r="F6" s="13" t="e">
        <f>Automation!F144</f>
        <v>#REF!</v>
      </c>
      <c r="G6" s="13" t="e">
        <f>Automation!F145</f>
        <v>#REF!</v>
      </c>
      <c r="H6" s="13" t="e">
        <f>Automation!F146</f>
        <v>#REF!</v>
      </c>
      <c r="I6" s="13" t="e">
        <f>Automation!F147</f>
        <v>#REF!</v>
      </c>
      <c r="J6" s="14"/>
      <c r="K6" s="15">
        <v>1</v>
      </c>
      <c r="L6" s="12" t="s">
        <v>17</v>
      </c>
      <c r="M6" s="16">
        <f t="shared" ref="M6:M21" si="0">(E33/D33)</f>
        <v>0</v>
      </c>
      <c r="N6" s="16" t="e">
        <f t="shared" ref="N6:N21" si="1">(E59/D59)</f>
        <v>#REF!</v>
      </c>
      <c r="O6" s="16" t="e">
        <f t="shared" ref="O6:O21" si="2">(E84/D84)</f>
        <v>#REF!</v>
      </c>
      <c r="P6" s="16" t="e">
        <f t="shared" ref="P6:P21" si="3">(E110/D110)</f>
        <v>#REF!</v>
      </c>
      <c r="Q6" s="16" t="e">
        <f t="shared" ref="Q6:Q17" si="4">(E6/D6)</f>
        <v>#REF!</v>
      </c>
    </row>
    <row r="7" spans="1:26" ht="14.4">
      <c r="A7" s="1"/>
      <c r="B7" s="11">
        <v>2</v>
      </c>
      <c r="C7" s="12" t="s">
        <v>18</v>
      </c>
      <c r="D7" s="13" t="e">
        <f>'[1] Hierarchy_Creation'!F98</f>
        <v>#REF!</v>
      </c>
      <c r="E7" s="13" t="e">
        <f>'[1] Hierarchy_Creation'!F97</f>
        <v>#REF!</v>
      </c>
      <c r="F7" s="13" t="e">
        <f>'[1] Hierarchy_Creation'!F93</f>
        <v>#REF!</v>
      </c>
      <c r="G7" s="13" t="e">
        <f>'[1] Hierarchy_Creation'!F95</f>
        <v>#REF!</v>
      </c>
      <c r="H7" s="13" t="e">
        <f>'[1] Hierarchy_Creation'!F95</f>
        <v>#REF!</v>
      </c>
      <c r="I7" s="13" t="e">
        <f>'[1] Hierarchy_Creation'!F96</f>
        <v>#REF!</v>
      </c>
      <c r="J7" s="1"/>
      <c r="K7" s="15">
        <v>2</v>
      </c>
      <c r="L7" s="12" t="s">
        <v>18</v>
      </c>
      <c r="M7" s="16" t="e">
        <f t="shared" si="0"/>
        <v>#REF!</v>
      </c>
      <c r="N7" s="16" t="e">
        <f t="shared" si="1"/>
        <v>#REF!</v>
      </c>
      <c r="O7" s="16" t="e">
        <f t="shared" si="2"/>
        <v>#REF!</v>
      </c>
      <c r="P7" s="16" t="e">
        <f t="shared" si="3"/>
        <v>#REF!</v>
      </c>
      <c r="Q7" s="16" t="e">
        <f t="shared" si="4"/>
        <v>#REF!</v>
      </c>
      <c r="R7" s="1"/>
      <c r="S7" s="1"/>
      <c r="T7" s="1"/>
      <c r="U7" s="1"/>
      <c r="V7" s="1"/>
      <c r="W7" s="1"/>
      <c r="X7" s="1"/>
      <c r="Y7" s="1"/>
      <c r="Z7" s="1"/>
    </row>
    <row r="8" spans="1:26" ht="14.4">
      <c r="A8" s="1"/>
      <c r="B8" s="15">
        <v>3</v>
      </c>
      <c r="C8" s="12" t="s">
        <v>19</v>
      </c>
      <c r="D8" s="13" t="e">
        <f>[2]User_Control!F67</f>
        <v>#REF!</v>
      </c>
      <c r="E8" s="13" t="e">
        <f>[2]User_Control!F66</f>
        <v>#REF!</v>
      </c>
      <c r="F8" s="13" t="e">
        <f>[2]User_Control!F62</f>
        <v>#REF!</v>
      </c>
      <c r="G8" s="13" t="e">
        <f>[2]User_Control!F63</f>
        <v>#REF!</v>
      </c>
      <c r="H8" s="13" t="e">
        <f>[2]User_Control!F64</f>
        <v>#REF!</v>
      </c>
      <c r="I8" s="13" t="e">
        <f>[2]User_Control!F65</f>
        <v>#REF!</v>
      </c>
      <c r="J8" s="1"/>
      <c r="K8" s="15">
        <v>3</v>
      </c>
      <c r="L8" s="12" t="s">
        <v>19</v>
      </c>
      <c r="M8" s="16" t="e">
        <f t="shared" si="0"/>
        <v>#REF!</v>
      </c>
      <c r="N8" s="16" t="e">
        <f t="shared" si="1"/>
        <v>#REF!</v>
      </c>
      <c r="O8" s="16" t="e">
        <f t="shared" si="2"/>
        <v>#REF!</v>
      </c>
      <c r="P8" s="16" t="e">
        <f t="shared" si="3"/>
        <v>#REF!</v>
      </c>
      <c r="Q8" s="16" t="e">
        <f t="shared" si="4"/>
        <v>#REF!</v>
      </c>
      <c r="R8" s="1"/>
      <c r="S8" s="1"/>
      <c r="T8" s="1"/>
      <c r="U8" s="1"/>
      <c r="V8" s="1"/>
      <c r="W8" s="1"/>
      <c r="X8" s="1"/>
      <c r="Y8" s="1"/>
      <c r="Z8" s="1"/>
    </row>
    <row r="9" spans="1:26" ht="14.4">
      <c r="A9" s="1"/>
      <c r="B9" s="11">
        <v>4</v>
      </c>
      <c r="C9" s="12" t="s">
        <v>20</v>
      </c>
      <c r="D9" s="13" t="e">
        <f>[3]Home_Page!F83</f>
        <v>#REF!</v>
      </c>
      <c r="E9" s="13" t="e">
        <f>[3]Home_Page!F82</f>
        <v>#REF!</v>
      </c>
      <c r="F9" s="13" t="e">
        <f>[3]Home_Page!F78</f>
        <v>#REF!</v>
      </c>
      <c r="G9" s="13" t="e">
        <f>[3]Home_Page!F79</f>
        <v>#REF!</v>
      </c>
      <c r="H9" s="13" t="e">
        <f>[3]Home_Page!F80</f>
        <v>#REF!</v>
      </c>
      <c r="I9" s="13" t="e">
        <f>[3]Home_Page!F81</f>
        <v>#REF!</v>
      </c>
      <c r="J9" s="1"/>
      <c r="K9" s="15">
        <v>4</v>
      </c>
      <c r="L9" s="12" t="s">
        <v>20</v>
      </c>
      <c r="M9" s="16" t="e">
        <f t="shared" si="0"/>
        <v>#REF!</v>
      </c>
      <c r="N9" s="16" t="e">
        <f t="shared" si="1"/>
        <v>#REF!</v>
      </c>
      <c r="O9" s="16" t="e">
        <f t="shared" si="2"/>
        <v>#REF!</v>
      </c>
      <c r="P9" s="16" t="e">
        <f t="shared" si="3"/>
        <v>#REF!</v>
      </c>
      <c r="Q9" s="16" t="e">
        <f t="shared" si="4"/>
        <v>#REF!</v>
      </c>
      <c r="R9" s="1"/>
      <c r="S9" s="1"/>
      <c r="T9" s="1"/>
      <c r="U9" s="1"/>
      <c r="V9" s="1"/>
      <c r="W9" s="1"/>
      <c r="X9" s="1"/>
      <c r="Y9" s="1"/>
      <c r="Z9" s="1"/>
    </row>
    <row r="10" spans="1:26" ht="14.4">
      <c r="B10" s="15">
        <v>5</v>
      </c>
      <c r="C10" s="12" t="s">
        <v>21</v>
      </c>
      <c r="D10" s="13" t="e">
        <f>[4]FlooHierarchy_edit_delete!F105</f>
        <v>#REF!</v>
      </c>
      <c r="E10" s="13" t="e">
        <f>[4]FlooHierarchy_edit_delete!F104</f>
        <v>#REF!</v>
      </c>
      <c r="F10" s="13" t="e">
        <f>[4]FlooHierarchy_edit_delete!F100</f>
        <v>#REF!</v>
      </c>
      <c r="G10" s="13" t="e">
        <f>[4]FlooHierarchy_edit_delete!F101</f>
        <v>#REF!</v>
      </c>
      <c r="H10" s="13" t="e">
        <f>[4]FlooHierarchy_edit_delete!F102</f>
        <v>#REF!</v>
      </c>
      <c r="I10" s="13" t="e">
        <f>[4]FlooHierarchy_edit_delete!F103</f>
        <v>#REF!</v>
      </c>
      <c r="J10" s="1"/>
      <c r="K10" s="15">
        <v>5</v>
      </c>
      <c r="L10" s="12" t="s">
        <v>21</v>
      </c>
      <c r="M10" s="16" t="e">
        <f t="shared" si="0"/>
        <v>#REF!</v>
      </c>
      <c r="N10" s="16" t="e">
        <f t="shared" si="1"/>
        <v>#REF!</v>
      </c>
      <c r="O10" s="16" t="e">
        <f t="shared" si="2"/>
        <v>#REF!</v>
      </c>
      <c r="P10" s="16" t="e">
        <f t="shared" si="3"/>
        <v>#REF!</v>
      </c>
      <c r="Q10" s="16" t="e">
        <f t="shared" si="4"/>
        <v>#REF!</v>
      </c>
    </row>
    <row r="11" spans="1:26" ht="14.4">
      <c r="B11" s="15">
        <v>6</v>
      </c>
      <c r="C11" s="12" t="s">
        <v>22</v>
      </c>
      <c r="D11" s="13" t="e">
        <f>[5]Add_Switchboard!E98</f>
        <v>#REF!</v>
      </c>
      <c r="E11" s="13" t="e">
        <f>[5]Add_Switchboard!E97</f>
        <v>#REF!</v>
      </c>
      <c r="F11" s="13" t="e">
        <f>[5]Add_Switchboard!E93</f>
        <v>#REF!</v>
      </c>
      <c r="G11" s="13" t="e">
        <f>[5]Add_Switchboard!E94</f>
        <v>#REF!</v>
      </c>
      <c r="H11" s="13" t="e">
        <f>[5]Add_Switchboard!E95</f>
        <v>#REF!</v>
      </c>
      <c r="I11" s="13" t="e">
        <f>[5]Add_Switchboard!E96</f>
        <v>#REF!</v>
      </c>
      <c r="J11" s="1"/>
      <c r="K11" s="15">
        <v>6</v>
      </c>
      <c r="L11" s="12" t="s">
        <v>22</v>
      </c>
      <c r="M11" s="16" t="e">
        <f t="shared" si="0"/>
        <v>#REF!</v>
      </c>
      <c r="N11" s="16" t="e">
        <f t="shared" si="1"/>
        <v>#REF!</v>
      </c>
      <c r="O11" s="16" t="e">
        <f t="shared" si="2"/>
        <v>#REF!</v>
      </c>
      <c r="P11" s="16" t="e">
        <f t="shared" si="3"/>
        <v>#REF!</v>
      </c>
      <c r="Q11" s="16" t="e">
        <f t="shared" si="4"/>
        <v>#REF!</v>
      </c>
    </row>
    <row r="12" spans="1:26" ht="14.4">
      <c r="B12" s="11">
        <v>7</v>
      </c>
      <c r="C12" s="12" t="s">
        <v>23</v>
      </c>
      <c r="D12" s="13" t="e">
        <f>[6]Connectivity!G116</f>
        <v>#REF!</v>
      </c>
      <c r="E12" s="13" t="e">
        <f>[6]Connectivity!G115</f>
        <v>#REF!</v>
      </c>
      <c r="F12" s="13" t="e">
        <f>[6]Connectivity!G111</f>
        <v>#REF!</v>
      </c>
      <c r="G12" s="13" t="e">
        <f>[6]Connectivity!G112</f>
        <v>#REF!</v>
      </c>
      <c r="H12" s="13" t="e">
        <f>[6]Connectivity!G113</f>
        <v>#REF!</v>
      </c>
      <c r="I12" s="13" t="e">
        <f>[6]Connectivity!G114</f>
        <v>#REF!</v>
      </c>
      <c r="J12" s="1"/>
      <c r="K12" s="15">
        <v>7</v>
      </c>
      <c r="L12" s="12" t="s">
        <v>23</v>
      </c>
      <c r="M12" s="16" t="e">
        <f t="shared" si="0"/>
        <v>#REF!</v>
      </c>
      <c r="N12" s="16" t="e">
        <f t="shared" si="1"/>
        <v>#REF!</v>
      </c>
      <c r="O12" s="16" t="e">
        <f t="shared" si="2"/>
        <v>#REF!</v>
      </c>
      <c r="P12" s="16" t="e">
        <f t="shared" si="3"/>
        <v>#REF!</v>
      </c>
      <c r="Q12" s="16" t="e">
        <f t="shared" si="4"/>
        <v>#REF!</v>
      </c>
    </row>
    <row r="13" spans="1:26" ht="14.4">
      <c r="B13" s="15">
        <v>8</v>
      </c>
      <c r="C13" s="12" t="s">
        <v>24</v>
      </c>
      <c r="D13" s="13" t="e">
        <f>[7]Analytics!F204</f>
        <v>#REF!</v>
      </c>
      <c r="E13" s="13" t="e">
        <f>[7]Analytics!F203</f>
        <v>#REF!</v>
      </c>
      <c r="F13" s="13" t="e">
        <f>[7]Analytics!F199</f>
        <v>#REF!</v>
      </c>
      <c r="G13" s="13" t="e">
        <f>[7]Analytics!F200</f>
        <v>#REF!</v>
      </c>
      <c r="H13" s="13" t="e">
        <f>[7]Analytics!F201</f>
        <v>#REF!</v>
      </c>
      <c r="I13" s="13" t="e">
        <f>[7]Analytics!F202</f>
        <v>#REF!</v>
      </c>
      <c r="J13" s="1"/>
      <c r="K13" s="15">
        <v>8</v>
      </c>
      <c r="L13" s="12" t="s">
        <v>24</v>
      </c>
      <c r="M13" s="16" t="e">
        <f t="shared" si="0"/>
        <v>#REF!</v>
      </c>
      <c r="N13" s="16" t="e">
        <f t="shared" si="1"/>
        <v>#REF!</v>
      </c>
      <c r="O13" s="16" t="e">
        <f t="shared" si="2"/>
        <v>#REF!</v>
      </c>
      <c r="P13" s="16" t="e">
        <f t="shared" si="3"/>
        <v>#REF!</v>
      </c>
      <c r="Q13" s="16" t="e">
        <f t="shared" si="4"/>
        <v>#REF!</v>
      </c>
    </row>
    <row r="14" spans="1:26" ht="14.4">
      <c r="B14" s="15">
        <v>9</v>
      </c>
      <c r="C14" s="12" t="s">
        <v>25</v>
      </c>
      <c r="D14" s="17" t="e">
        <f>'[8]Setting &amp; Profile'!F150</f>
        <v>#REF!</v>
      </c>
      <c r="E14" s="17" t="e">
        <f>'[8]Setting &amp; Profile'!F149</f>
        <v>#REF!</v>
      </c>
      <c r="F14" s="17" t="e">
        <f>'[8]Setting &amp; Profile'!F145</f>
        <v>#REF!</v>
      </c>
      <c r="G14" s="17" t="e">
        <f>'[8]Setting &amp; Profile'!F146</f>
        <v>#REF!</v>
      </c>
      <c r="H14" s="17" t="e">
        <f>'[8]Setting &amp; Profile'!F147</f>
        <v>#REF!</v>
      </c>
      <c r="I14" s="17" t="e">
        <f>'[8]Setting &amp; Profile'!F148</f>
        <v>#REF!</v>
      </c>
      <c r="J14" s="1"/>
      <c r="K14" s="15">
        <v>9</v>
      </c>
      <c r="L14" s="12" t="s">
        <v>25</v>
      </c>
      <c r="M14" s="16" t="e">
        <f t="shared" si="0"/>
        <v>#REF!</v>
      </c>
      <c r="N14" s="16" t="e">
        <f t="shared" si="1"/>
        <v>#REF!</v>
      </c>
      <c r="O14" s="16" t="e">
        <f t="shared" si="2"/>
        <v>#REF!</v>
      </c>
      <c r="P14" s="16" t="e">
        <f t="shared" si="3"/>
        <v>#REF!</v>
      </c>
      <c r="Q14" s="16" t="e">
        <f t="shared" si="4"/>
        <v>#REF!</v>
      </c>
    </row>
    <row r="15" spans="1:26" ht="14.4">
      <c r="B15" s="15">
        <v>10</v>
      </c>
      <c r="C15" s="12" t="s">
        <v>26</v>
      </c>
      <c r="D15" s="13" t="e">
        <f>[9]Notification!F112</f>
        <v>#REF!</v>
      </c>
      <c r="E15" s="13" t="e">
        <f>[9]Notification!F111</f>
        <v>#REF!</v>
      </c>
      <c r="F15" s="13" t="e">
        <f>[9]Notification!F107</f>
        <v>#REF!</v>
      </c>
      <c r="G15" s="13" t="e">
        <f>[9]Notification!F108</f>
        <v>#REF!</v>
      </c>
      <c r="H15" s="13" t="e">
        <f>[9]Notification!F109</f>
        <v>#REF!</v>
      </c>
      <c r="I15" s="13" t="e">
        <f>[9]Notification!F110</f>
        <v>#REF!</v>
      </c>
      <c r="J15" s="1"/>
      <c r="K15" s="15">
        <v>10</v>
      </c>
      <c r="L15" s="12" t="s">
        <v>26</v>
      </c>
      <c r="M15" s="16" t="e">
        <f t="shared" si="0"/>
        <v>#REF!</v>
      </c>
      <c r="N15" s="16" t="e">
        <f t="shared" si="1"/>
        <v>#REF!</v>
      </c>
      <c r="O15" s="16" t="e">
        <f t="shared" si="2"/>
        <v>#REF!</v>
      </c>
      <c r="P15" s="16" t="e">
        <f t="shared" si="3"/>
        <v>#REF!</v>
      </c>
      <c r="Q15" s="16" t="e">
        <f t="shared" si="4"/>
        <v>#REF!</v>
      </c>
    </row>
    <row r="16" spans="1:26" ht="15.75" customHeight="1">
      <c r="B16" s="11">
        <v>11</v>
      </c>
      <c r="C16" s="12" t="s">
        <v>27</v>
      </c>
      <c r="D16" s="18" t="e">
        <f>[10]Pairing!E194</f>
        <v>#REF!</v>
      </c>
      <c r="E16" s="13" t="e">
        <f>[10]Pairing!E193</f>
        <v>#REF!</v>
      </c>
      <c r="F16" s="18" t="e">
        <f>[10]Pairing!E189</f>
        <v>#REF!</v>
      </c>
      <c r="G16" s="18" t="e">
        <f>[10]Pairing!E190</f>
        <v>#REF!</v>
      </c>
      <c r="H16" s="18" t="e">
        <f>[10]Pairing!E191</f>
        <v>#REF!</v>
      </c>
      <c r="I16" s="18" t="e">
        <f>[10]Pairing!E192</f>
        <v>#REF!</v>
      </c>
      <c r="K16" s="15">
        <v>11</v>
      </c>
      <c r="L16" s="12" t="s">
        <v>27</v>
      </c>
      <c r="M16" s="16" t="e">
        <f t="shared" si="0"/>
        <v>#REF!</v>
      </c>
      <c r="N16" s="16" t="e">
        <f t="shared" si="1"/>
        <v>#REF!</v>
      </c>
      <c r="O16" s="16" t="e">
        <f t="shared" si="2"/>
        <v>#REF!</v>
      </c>
      <c r="P16" s="16" t="e">
        <f t="shared" si="3"/>
        <v>#REF!</v>
      </c>
      <c r="Q16" s="16" t="e">
        <f t="shared" si="4"/>
        <v>#REF!</v>
      </c>
    </row>
    <row r="17" spans="2:17" ht="15.75" customHeight="1">
      <c r="B17" s="15">
        <v>12</v>
      </c>
      <c r="C17" s="12" t="s">
        <v>28</v>
      </c>
      <c r="D17" s="18" t="e">
        <f>[11]Scheduler!G125</f>
        <v>#REF!</v>
      </c>
      <c r="E17" s="13" t="e">
        <f>[11]Scheduler!G124</f>
        <v>#REF!</v>
      </c>
      <c r="F17" s="18" t="e">
        <f>[11]Scheduler!G120</f>
        <v>#REF!</v>
      </c>
      <c r="G17" s="18" t="e">
        <f>[11]Scheduler!G121</f>
        <v>#REF!</v>
      </c>
      <c r="H17" s="18" t="e">
        <f>[11]Scheduler!G122</f>
        <v>#REF!</v>
      </c>
      <c r="I17" s="18" t="e">
        <f>[11]Scheduler!G123</f>
        <v>#REF!</v>
      </c>
      <c r="K17" s="15">
        <v>12</v>
      </c>
      <c r="L17" s="12" t="s">
        <v>28</v>
      </c>
      <c r="M17" s="16" t="e">
        <f t="shared" si="0"/>
        <v>#REF!</v>
      </c>
      <c r="N17" s="16" t="e">
        <f t="shared" si="1"/>
        <v>#REF!</v>
      </c>
      <c r="O17" s="16" t="e">
        <f t="shared" si="2"/>
        <v>#REF!</v>
      </c>
      <c r="P17" s="16" t="e">
        <f t="shared" si="3"/>
        <v>#REF!</v>
      </c>
      <c r="Q17" s="16" t="e">
        <f t="shared" si="4"/>
        <v>#REF!</v>
      </c>
    </row>
    <row r="18" spans="2:17" ht="15.75" customHeight="1">
      <c r="B18" s="15">
        <v>13</v>
      </c>
      <c r="C18" s="12" t="s">
        <v>29</v>
      </c>
      <c r="D18" s="18" t="e">
        <f>[12]Smart_Scene_Creation!F70</f>
        <v>#REF!</v>
      </c>
      <c r="E18" s="13" t="e">
        <f>[12]Smart_Scene_Creation!F69</f>
        <v>#REF!</v>
      </c>
      <c r="F18" s="18" t="e">
        <f>[12]Smart_Scene_Creation!F65</f>
        <v>#REF!</v>
      </c>
      <c r="G18" s="18" t="e">
        <f>[12]Smart_Scene_Creation!F66</f>
        <v>#REF!</v>
      </c>
      <c r="H18" s="18" t="e">
        <f>[12]Smart_Scene_Creation!F67</f>
        <v>#REF!</v>
      </c>
      <c r="I18" s="18" t="e">
        <f>[12]Smart_Scene_Creation!F68</f>
        <v>#REF!</v>
      </c>
      <c r="K18" s="15">
        <v>13</v>
      </c>
      <c r="L18" s="12" t="s">
        <v>29</v>
      </c>
      <c r="M18" s="16" t="e">
        <f t="shared" si="0"/>
        <v>#REF!</v>
      </c>
      <c r="N18" s="16" t="e">
        <f t="shared" si="1"/>
        <v>#REF!</v>
      </c>
      <c r="O18" s="16" t="e">
        <f t="shared" si="2"/>
        <v>#REF!</v>
      </c>
      <c r="P18" s="16" t="e">
        <f t="shared" si="3"/>
        <v>#DIV/0!</v>
      </c>
      <c r="Q18" s="16"/>
    </row>
    <row r="19" spans="2:17" ht="15.75" customHeight="1">
      <c r="B19" s="15">
        <v>14</v>
      </c>
      <c r="C19" s="12" t="s">
        <v>30</v>
      </c>
      <c r="D19" s="18" t="e">
        <f>[13]Device_Settings_Duplicate!F114</f>
        <v>#REF!</v>
      </c>
      <c r="E19" s="13" t="e">
        <f>[13]Device_Settings_Duplicate!F113</f>
        <v>#REF!</v>
      </c>
      <c r="F19" s="18" t="e">
        <f>[13]Device_Settings_Duplicate!F109</f>
        <v>#REF!</v>
      </c>
      <c r="G19" s="18" t="e">
        <f>[13]Device_Settings_Duplicate!F110</f>
        <v>#REF!</v>
      </c>
      <c r="H19" s="18" t="e">
        <f>[13]Device_Settings_Duplicate!F111</f>
        <v>#REF!</v>
      </c>
      <c r="I19" s="18" t="e">
        <f>[13]Device_Settings_Duplicate!F112</f>
        <v>#REF!</v>
      </c>
      <c r="K19" s="15">
        <v>14</v>
      </c>
      <c r="L19" s="12" t="s">
        <v>30</v>
      </c>
      <c r="M19" s="16" t="e">
        <f t="shared" si="0"/>
        <v>#REF!</v>
      </c>
      <c r="N19" s="16" t="e">
        <f t="shared" si="1"/>
        <v>#REF!</v>
      </c>
      <c r="O19" s="16" t="e">
        <f t="shared" si="2"/>
        <v>#REF!</v>
      </c>
      <c r="P19" s="16" t="e">
        <f t="shared" si="3"/>
        <v>#REF!</v>
      </c>
      <c r="Q19" s="16" t="e">
        <f t="shared" ref="Q19:Q21" si="5">(E19/D19)</f>
        <v>#REF!</v>
      </c>
    </row>
    <row r="20" spans="2:17" ht="15.75" customHeight="1">
      <c r="B20" s="15">
        <v>15</v>
      </c>
      <c r="C20" s="12" t="s">
        <v>31</v>
      </c>
      <c r="D20" s="18" t="e">
        <f>[14]Multi_Device!G150</f>
        <v>#REF!</v>
      </c>
      <c r="E20" s="13" t="e">
        <f>[14]Multi_Device!G149</f>
        <v>#REF!</v>
      </c>
      <c r="F20" s="18" t="e">
        <f>[14]Multi_Device!G145</f>
        <v>#REF!</v>
      </c>
      <c r="G20" s="18" t="e">
        <f>[14]Multi_Device!G146</f>
        <v>#REF!</v>
      </c>
      <c r="H20" s="18" t="e">
        <f>[14]Multi_Device!G147</f>
        <v>#REF!</v>
      </c>
      <c r="I20" s="18" t="e">
        <f>[14]Multi_Device!G148</f>
        <v>#REF!</v>
      </c>
      <c r="K20" s="15">
        <v>15</v>
      </c>
      <c r="L20" s="12" t="s">
        <v>31</v>
      </c>
      <c r="M20" s="16" t="e">
        <f t="shared" si="0"/>
        <v>#REF!</v>
      </c>
      <c r="N20" s="16" t="e">
        <f t="shared" si="1"/>
        <v>#REF!</v>
      </c>
      <c r="O20" s="16" t="e">
        <f t="shared" si="2"/>
        <v>#REF!</v>
      </c>
      <c r="P20" s="16" t="e">
        <f t="shared" si="3"/>
        <v>#REF!</v>
      </c>
      <c r="Q20" s="16" t="e">
        <f t="shared" si="5"/>
        <v>#REF!</v>
      </c>
    </row>
    <row r="21" spans="2:17" ht="15.75" customHeight="1">
      <c r="B21" s="11">
        <v>16</v>
      </c>
      <c r="C21" s="12" t="s">
        <v>32</v>
      </c>
      <c r="D21" s="18" t="e">
        <f>[15]OFF!F89</f>
        <v>#REF!</v>
      </c>
      <c r="E21" s="13" t="e">
        <f>[15]OFF!F88</f>
        <v>#REF!</v>
      </c>
      <c r="F21" s="18" t="e">
        <f>[15]OFF!F84</f>
        <v>#REF!</v>
      </c>
      <c r="G21" s="18" t="e">
        <f>[15]OFF!F85</f>
        <v>#REF!</v>
      </c>
      <c r="H21" s="18" t="e">
        <f>[15]OFF!F86</f>
        <v>#REF!</v>
      </c>
      <c r="I21" s="18" t="e">
        <f>[15]OFF!F87</f>
        <v>#REF!</v>
      </c>
      <c r="K21" s="15">
        <v>16</v>
      </c>
      <c r="L21" s="12" t="s">
        <v>32</v>
      </c>
      <c r="M21" s="16" t="e">
        <f t="shared" si="0"/>
        <v>#DIV/0!</v>
      </c>
      <c r="N21" s="16" t="e">
        <f t="shared" si="1"/>
        <v>#DIV/0!</v>
      </c>
      <c r="O21" s="16" t="e">
        <f t="shared" si="2"/>
        <v>#DIV/0!</v>
      </c>
      <c r="P21" s="16" t="e">
        <f t="shared" si="3"/>
        <v>#DIV/0!</v>
      </c>
      <c r="Q21" s="16" t="e">
        <f t="shared" si="5"/>
        <v>#REF!</v>
      </c>
    </row>
    <row r="22" spans="2:17" ht="15.75" customHeight="1">
      <c r="C22" s="19" t="s">
        <v>33</v>
      </c>
      <c r="D22" s="18" t="e">
        <f t="shared" ref="D22:I22" si="6">SUM(D6:D21)</f>
        <v>#REF!</v>
      </c>
      <c r="E22" s="18" t="e">
        <f t="shared" si="6"/>
        <v>#REF!</v>
      </c>
      <c r="F22" s="18" t="e">
        <f t="shared" si="6"/>
        <v>#REF!</v>
      </c>
      <c r="G22" s="18" t="e">
        <f t="shared" si="6"/>
        <v>#REF!</v>
      </c>
      <c r="H22" s="18" t="e">
        <f t="shared" si="6"/>
        <v>#REF!</v>
      </c>
      <c r="I22" s="18" t="e">
        <f t="shared" si="6"/>
        <v>#REF!</v>
      </c>
    </row>
    <row r="23" spans="2:17" ht="15.75" customHeight="1">
      <c r="E23" s="4"/>
      <c r="I23" s="3"/>
      <c r="N23" s="225" t="s">
        <v>34</v>
      </c>
      <c r="O23" s="224"/>
      <c r="P23" s="16"/>
      <c r="Q23" s="16" t="e">
        <f>(E22/D22)</f>
        <v>#REF!</v>
      </c>
    </row>
    <row r="24" spans="2:17" ht="15.75" customHeight="1">
      <c r="C24" s="226" t="s">
        <v>35</v>
      </c>
      <c r="D24" s="227"/>
      <c r="E24" s="20"/>
      <c r="I24" s="3"/>
      <c r="P24" s="21"/>
      <c r="Q24" s="16"/>
    </row>
    <row r="25" spans="2:17" ht="15.75" customHeight="1">
      <c r="C25" s="228"/>
      <c r="D25" s="229"/>
      <c r="E25" s="20"/>
      <c r="I25" s="3"/>
    </row>
    <row r="26" spans="2:17" ht="15.75" customHeight="1"/>
    <row r="27" spans="2:17" ht="15.75" customHeight="1"/>
    <row r="28" spans="2:17" ht="15.75" customHeight="1"/>
    <row r="29" spans="2:17" ht="15.75" customHeight="1">
      <c r="B29" s="230" t="s">
        <v>36</v>
      </c>
      <c r="C29" s="220"/>
      <c r="D29" s="220"/>
      <c r="E29" s="221"/>
      <c r="I29" s="3"/>
    </row>
    <row r="30" spans="2:17" ht="15.75" customHeight="1">
      <c r="E30" s="4"/>
      <c r="I30" s="3"/>
    </row>
    <row r="31" spans="2:17" ht="15.75" customHeight="1">
      <c r="E31" s="222" t="s">
        <v>2</v>
      </c>
      <c r="F31" s="223"/>
      <c r="G31" s="223"/>
      <c r="H31" s="223"/>
      <c r="I31" s="224"/>
    </row>
    <row r="32" spans="2:17" ht="15.75" customHeight="1">
      <c r="B32" s="5" t="s">
        <v>3</v>
      </c>
      <c r="C32" s="5" t="s">
        <v>37</v>
      </c>
      <c r="D32" s="5" t="s">
        <v>5</v>
      </c>
      <c r="E32" s="6" t="s">
        <v>6</v>
      </c>
      <c r="F32" s="7" t="s">
        <v>7</v>
      </c>
      <c r="G32" s="8" t="s">
        <v>8</v>
      </c>
      <c r="H32" s="9" t="s">
        <v>9</v>
      </c>
      <c r="I32" s="5" t="s">
        <v>10</v>
      </c>
    </row>
    <row r="33" spans="2:9" ht="15.75" customHeight="1">
      <c r="B33" s="15">
        <v>1</v>
      </c>
      <c r="C33" s="12" t="s">
        <v>17</v>
      </c>
      <c r="D33" s="13">
        <f>Automation!F117</f>
        <v>97</v>
      </c>
      <c r="E33" s="13">
        <f>Automation!F116</f>
        <v>0</v>
      </c>
      <c r="F33" s="13">
        <f>Automation!F112</f>
        <v>0</v>
      </c>
      <c r="G33" s="13">
        <f>Automation!F113</f>
        <v>0</v>
      </c>
      <c r="H33" s="13">
        <f>Automation!F114</f>
        <v>0</v>
      </c>
      <c r="I33" s="13">
        <f>Automation!F115</f>
        <v>97</v>
      </c>
    </row>
    <row r="34" spans="2:9" ht="15.75" customHeight="1">
      <c r="B34" s="15">
        <v>2</v>
      </c>
      <c r="C34" s="12" t="s">
        <v>18</v>
      </c>
      <c r="D34" s="13" t="e">
        <f>'[1] Hierarchy_Creation'!F66</f>
        <v>#REF!</v>
      </c>
      <c r="E34" s="13" t="e">
        <f>'[1] Hierarchy_Creation'!F65</f>
        <v>#REF!</v>
      </c>
      <c r="F34" s="13" t="e">
        <f>'[1] Hierarchy_Creation'!F61</f>
        <v>#REF!</v>
      </c>
      <c r="G34" s="13" t="e">
        <f>'[1] Hierarchy_Creation'!F62</f>
        <v>#REF!</v>
      </c>
      <c r="H34" s="13" t="e">
        <f>'[1] Hierarchy_Creation'!F63</f>
        <v>#REF!</v>
      </c>
      <c r="I34" s="13" t="e">
        <f>'[1] Hierarchy_Creation'!F64</f>
        <v>#REF!</v>
      </c>
    </row>
    <row r="35" spans="2:9" ht="15.75" customHeight="1">
      <c r="B35" s="15">
        <v>3</v>
      </c>
      <c r="C35" s="12" t="s">
        <v>19</v>
      </c>
      <c r="D35" s="13" t="e">
        <f>[2]User_Control!F35</f>
        <v>#REF!</v>
      </c>
      <c r="E35" s="13" t="e">
        <f>[2]User_Control!F34</f>
        <v>#REF!</v>
      </c>
      <c r="F35" s="13" t="e">
        <f>[2]User_Control!F30</f>
        <v>#REF!</v>
      </c>
      <c r="G35" s="13" t="e">
        <f>[2]User_Control!F31</f>
        <v>#REF!</v>
      </c>
      <c r="H35" s="13" t="e">
        <f>[2]User_Control!F32</f>
        <v>#REF!</v>
      </c>
      <c r="I35" s="13" t="e">
        <f>[2]User_Control!F33</f>
        <v>#REF!</v>
      </c>
    </row>
    <row r="36" spans="2:9" ht="15.75" customHeight="1">
      <c r="B36" s="15">
        <v>4</v>
      </c>
      <c r="C36" s="12" t="s">
        <v>20</v>
      </c>
      <c r="D36" s="13" t="e">
        <f>[3]Home_Page!F50</f>
        <v>#REF!</v>
      </c>
      <c r="E36" s="13" t="e">
        <f>[3]Home_Page!F49</f>
        <v>#REF!</v>
      </c>
      <c r="F36" s="13" t="e">
        <f>[3]Home_Page!F45</f>
        <v>#REF!</v>
      </c>
      <c r="G36" s="13" t="e">
        <f>[3]Home_Page!F46</f>
        <v>#REF!</v>
      </c>
      <c r="H36" s="13" t="e">
        <f>[3]Home_Page!F47</f>
        <v>#REF!</v>
      </c>
      <c r="I36" s="13" t="e">
        <f>[3]Home_Page!F48</f>
        <v>#REF!</v>
      </c>
    </row>
    <row r="37" spans="2:9" ht="15.75" customHeight="1">
      <c r="B37" s="15">
        <v>5</v>
      </c>
      <c r="C37" s="12" t="s">
        <v>21</v>
      </c>
      <c r="D37" s="13" t="e">
        <f>[4]FlooHierarchy_edit_delete!F73</f>
        <v>#REF!</v>
      </c>
      <c r="E37" s="13" t="e">
        <f>[4]FlooHierarchy_edit_delete!F72</f>
        <v>#REF!</v>
      </c>
      <c r="F37" s="13" t="e">
        <f>[4]FlooHierarchy_edit_delete!F68</f>
        <v>#REF!</v>
      </c>
      <c r="G37" s="13" t="e">
        <f>[4]FlooHierarchy_edit_delete!F69</f>
        <v>#REF!</v>
      </c>
      <c r="H37" s="13" t="e">
        <f>[4]FlooHierarchy_edit_delete!F70</f>
        <v>#REF!</v>
      </c>
      <c r="I37" s="13" t="e">
        <f>[4]FlooHierarchy_edit_delete!F71</f>
        <v>#REF!</v>
      </c>
    </row>
    <row r="38" spans="2:9" ht="15.75" customHeight="1">
      <c r="B38" s="15">
        <v>6</v>
      </c>
      <c r="C38" s="12" t="s">
        <v>22</v>
      </c>
      <c r="D38" s="13" t="e">
        <f>[5]Add_Switchboard!E65</f>
        <v>#REF!</v>
      </c>
      <c r="E38" s="13" t="e">
        <f>[5]Add_Switchboard!E64</f>
        <v>#REF!</v>
      </c>
      <c r="F38" s="13" t="e">
        <f>[5]Add_Switchboard!E60</f>
        <v>#REF!</v>
      </c>
      <c r="G38" s="13" t="e">
        <f>[5]Add_Switchboard!E61</f>
        <v>#REF!</v>
      </c>
      <c r="H38" s="13" t="e">
        <f>[5]Add_Switchboard!E62</f>
        <v>#REF!</v>
      </c>
      <c r="I38" s="13" t="e">
        <f>[5]Add_Switchboard!E63</f>
        <v>#REF!</v>
      </c>
    </row>
    <row r="39" spans="2:9" ht="15.75" customHeight="1">
      <c r="B39" s="15">
        <v>7</v>
      </c>
      <c r="C39" s="12" t="s">
        <v>23</v>
      </c>
      <c r="D39" s="13" t="e">
        <f>[6]Connectivity!G91</f>
        <v>#REF!</v>
      </c>
      <c r="E39" s="13" t="e">
        <f>[6]Connectivity!G90</f>
        <v>#REF!</v>
      </c>
      <c r="F39" s="13" t="e">
        <f>[6]Connectivity!G86</f>
        <v>#REF!</v>
      </c>
      <c r="G39" s="13" t="e">
        <f>[6]Connectivity!G87</f>
        <v>#REF!</v>
      </c>
      <c r="H39" s="13" t="e">
        <f>[6]Connectivity!G88</f>
        <v>#REF!</v>
      </c>
      <c r="I39" s="13" t="e">
        <f>[6]Connectivity!G89</f>
        <v>#REF!</v>
      </c>
    </row>
    <row r="40" spans="2:9" ht="15.75" customHeight="1">
      <c r="B40" s="15">
        <v>8</v>
      </c>
      <c r="C40" s="12" t="s">
        <v>24</v>
      </c>
      <c r="D40" s="13" t="e">
        <f>[7]Analytics!F177</f>
        <v>#REF!</v>
      </c>
      <c r="E40" s="13" t="e">
        <f>[7]Analytics!F176</f>
        <v>#REF!</v>
      </c>
      <c r="F40" s="13" t="e">
        <f>[7]Analytics!F174</f>
        <v>#REF!</v>
      </c>
      <c r="G40" s="13" t="e">
        <f>[7]Analytics!F175</f>
        <v>#REF!</v>
      </c>
      <c r="H40" s="13" t="e">
        <f>[7]Analytics!F176</f>
        <v>#REF!</v>
      </c>
      <c r="I40" s="13" t="e">
        <f>[7]Analytics!F177</f>
        <v>#REF!</v>
      </c>
    </row>
    <row r="41" spans="2:9" ht="15.75" customHeight="1">
      <c r="B41" s="15">
        <v>9</v>
      </c>
      <c r="C41" s="12" t="s">
        <v>25</v>
      </c>
      <c r="D41" s="13" t="e">
        <f>'[8]Setting &amp; Profile'!F118</f>
        <v>#REF!</v>
      </c>
      <c r="E41" s="13" t="e">
        <f>'[8]Setting &amp; Profile'!F117</f>
        <v>#REF!</v>
      </c>
      <c r="F41" s="13" t="e">
        <f>'[8]Setting &amp; Profile'!F113</f>
        <v>#REF!</v>
      </c>
      <c r="G41" s="13" t="e">
        <f>'[8]Setting &amp; Profile'!F114</f>
        <v>#REF!</v>
      </c>
      <c r="H41" s="13" t="e">
        <f>'[8]Setting &amp; Profile'!F115</f>
        <v>#REF!</v>
      </c>
      <c r="I41" s="13" t="e">
        <f>'[8]Setting &amp; Profile'!F116</f>
        <v>#REF!</v>
      </c>
    </row>
    <row r="42" spans="2:9" ht="15.75" customHeight="1">
      <c r="B42" s="15">
        <v>10</v>
      </c>
      <c r="C42" s="12" t="s">
        <v>26</v>
      </c>
      <c r="D42" s="13" t="e">
        <f>[9]Notification!F88</f>
        <v>#REF!</v>
      </c>
      <c r="E42" s="13" t="e">
        <f>[9]Notification!F87</f>
        <v>#REF!</v>
      </c>
      <c r="F42" s="13" t="e">
        <f>[9]Notification!F83</f>
        <v>#REF!</v>
      </c>
      <c r="G42" s="13" t="e">
        <f>[9]Notification!F84</f>
        <v>#REF!</v>
      </c>
      <c r="H42" s="13" t="e">
        <f>[9]Notification!F83</f>
        <v>#REF!</v>
      </c>
      <c r="I42" s="13" t="e">
        <f>[9]Notification!F84</f>
        <v>#REF!</v>
      </c>
    </row>
    <row r="43" spans="2:9" ht="15.75" customHeight="1">
      <c r="B43" s="15">
        <v>11</v>
      </c>
      <c r="C43" s="12" t="s">
        <v>27</v>
      </c>
      <c r="D43" s="13" t="e">
        <f>[10]Pairing!E169</f>
        <v>#REF!</v>
      </c>
      <c r="E43" s="13" t="e">
        <f>[10]Pairing!E168</f>
        <v>#REF!</v>
      </c>
      <c r="F43" s="13" t="e">
        <f>[10]Pairing!E164</f>
        <v>#REF!</v>
      </c>
      <c r="G43" s="13" t="e">
        <f>[10]Pairing!E165</f>
        <v>#REF!</v>
      </c>
      <c r="H43" s="13" t="e">
        <f>[10]Pairing!E166</f>
        <v>#REF!</v>
      </c>
      <c r="I43" s="13" t="e">
        <f>[10]Pairing!E167</f>
        <v>#REF!</v>
      </c>
    </row>
    <row r="44" spans="2:9" ht="15.75" customHeight="1">
      <c r="B44" s="15">
        <v>12</v>
      </c>
      <c r="C44" s="12" t="s">
        <v>28</v>
      </c>
      <c r="D44" s="13" t="e">
        <f>[11]Scheduler!G100</f>
        <v>#REF!</v>
      </c>
      <c r="E44" s="13" t="e">
        <f>[11]Scheduler!G99</f>
        <v>#REF!</v>
      </c>
      <c r="F44" s="13" t="e">
        <f>[11]Scheduler!G95</f>
        <v>#REF!</v>
      </c>
      <c r="G44" s="13" t="e">
        <f>[11]Scheduler!G96</f>
        <v>#REF!</v>
      </c>
      <c r="H44" s="13" t="e">
        <f>[11]Scheduler!G97</f>
        <v>#REF!</v>
      </c>
      <c r="I44" s="13" t="e">
        <f>[11]Scheduler!G98</f>
        <v>#REF!</v>
      </c>
    </row>
    <row r="45" spans="2:9" ht="15.75" customHeight="1">
      <c r="B45" s="15">
        <v>13</v>
      </c>
      <c r="C45" s="12" t="s">
        <v>29</v>
      </c>
      <c r="D45" s="18" t="e">
        <f>[16]Device_Settings!G205</f>
        <v>#REF!</v>
      </c>
      <c r="E45" s="13" t="e">
        <f>[16]Device_Settings!G204</f>
        <v>#REF!</v>
      </c>
      <c r="F45" s="13" t="e">
        <f>[16]Device_Settings!G200</f>
        <v>#REF!</v>
      </c>
      <c r="G45" s="13" t="e">
        <f>[16]Device_Settings!G201</f>
        <v>#REF!</v>
      </c>
      <c r="H45" s="13" t="e">
        <f>[16]Device_Settings!G202</f>
        <v>#REF!</v>
      </c>
      <c r="I45" s="13" t="e">
        <f>[16]Device_Settings!G203</f>
        <v>#REF!</v>
      </c>
    </row>
    <row r="46" spans="2:9" ht="15.75" customHeight="1">
      <c r="B46" s="15">
        <v>14</v>
      </c>
      <c r="C46" s="12" t="s">
        <v>30</v>
      </c>
      <c r="D46" s="13" t="e">
        <f>[14]Multi_Device!G126</f>
        <v>#REF!</v>
      </c>
      <c r="E46" s="13" t="e">
        <f>[14]Multi_Device!G125</f>
        <v>#REF!</v>
      </c>
      <c r="F46" s="13" t="e">
        <f>[14]Multi_Device!G121</f>
        <v>#REF!</v>
      </c>
      <c r="G46" s="13" t="e">
        <f>[14]Multi_Device!G122</f>
        <v>#REF!</v>
      </c>
      <c r="H46" s="13" t="e">
        <f>[14]Multi_Device!G123</f>
        <v>#REF!</v>
      </c>
      <c r="I46" s="13" t="e">
        <f>[14]Multi_Device!G124</f>
        <v>#REF!</v>
      </c>
    </row>
    <row r="47" spans="2:9" ht="15.75" customHeight="1">
      <c r="B47" s="15">
        <v>15</v>
      </c>
      <c r="C47" s="12" t="s">
        <v>31</v>
      </c>
      <c r="D47" s="13" t="e">
        <f>[15]OFF!F57</f>
        <v>#REF!</v>
      </c>
      <c r="E47" s="13" t="e">
        <f>[15]OFF!F56</f>
        <v>#REF!</v>
      </c>
      <c r="F47" s="13" t="e">
        <f>[15]OFF!F52</f>
        <v>#REF!</v>
      </c>
      <c r="G47" s="13" t="e">
        <f>[15]OFF!F53</f>
        <v>#REF!</v>
      </c>
      <c r="H47" s="13" t="e">
        <f>[15]OFF!F54</f>
        <v>#REF!</v>
      </c>
      <c r="I47" s="13" t="e">
        <f>[15]OFF!F55</f>
        <v>#REF!</v>
      </c>
    </row>
    <row r="48" spans="2:9" ht="15.75" customHeight="1">
      <c r="C48" s="12" t="s">
        <v>32</v>
      </c>
    </row>
    <row r="49" spans="2:9" ht="15.75" customHeight="1">
      <c r="C49" s="19" t="s">
        <v>33</v>
      </c>
      <c r="D49" s="18" t="e">
        <f t="shared" ref="D49:I49" si="7">SUM(D33:D47)</f>
        <v>#REF!</v>
      </c>
      <c r="E49" s="18" t="e">
        <f t="shared" si="7"/>
        <v>#REF!</v>
      </c>
      <c r="F49" s="18" t="e">
        <f t="shared" si="7"/>
        <v>#REF!</v>
      </c>
      <c r="G49" s="18" t="e">
        <f t="shared" si="7"/>
        <v>#REF!</v>
      </c>
      <c r="H49" s="18" t="e">
        <f t="shared" si="7"/>
        <v>#REF!</v>
      </c>
      <c r="I49" s="18" t="e">
        <f t="shared" si="7"/>
        <v>#REF!</v>
      </c>
    </row>
    <row r="50" spans="2:9" ht="15.75" customHeight="1">
      <c r="E50" s="4"/>
      <c r="I50" s="3"/>
    </row>
    <row r="51" spans="2:9" ht="15.75" customHeight="1">
      <c r="C51" s="226" t="s">
        <v>35</v>
      </c>
      <c r="D51" s="227"/>
      <c r="E51" s="20"/>
      <c r="I51" s="3"/>
    </row>
    <row r="52" spans="2:9" ht="15.75" customHeight="1">
      <c r="C52" s="228"/>
      <c r="D52" s="229"/>
      <c r="E52" s="20"/>
      <c r="I52" s="3"/>
    </row>
    <row r="53" spans="2:9" ht="15.75" customHeight="1"/>
    <row r="54" spans="2:9" ht="15.75" customHeight="1"/>
    <row r="55" spans="2:9" ht="15.75" customHeight="1">
      <c r="B55" s="230" t="s">
        <v>38</v>
      </c>
      <c r="C55" s="220"/>
      <c r="D55" s="220"/>
      <c r="E55" s="221"/>
      <c r="I55" s="3"/>
    </row>
    <row r="56" spans="2:9" ht="15.75" customHeight="1">
      <c r="E56" s="4"/>
      <c r="I56" s="3"/>
    </row>
    <row r="57" spans="2:9" ht="15.75" customHeight="1">
      <c r="E57" s="222" t="s">
        <v>2</v>
      </c>
      <c r="F57" s="223"/>
      <c r="G57" s="223"/>
      <c r="H57" s="223"/>
      <c r="I57" s="224"/>
    </row>
    <row r="58" spans="2:9" ht="15.75" customHeight="1">
      <c r="B58" s="5" t="s">
        <v>3</v>
      </c>
      <c r="C58" s="5" t="s">
        <v>37</v>
      </c>
      <c r="D58" s="5" t="s">
        <v>5</v>
      </c>
      <c r="E58" s="6" t="s">
        <v>6</v>
      </c>
      <c r="F58" s="7" t="s">
        <v>7</v>
      </c>
      <c r="G58" s="8" t="s">
        <v>8</v>
      </c>
      <c r="H58" s="9" t="s">
        <v>9</v>
      </c>
      <c r="I58" s="5" t="s">
        <v>10</v>
      </c>
    </row>
    <row r="59" spans="2:9" ht="15.75" customHeight="1">
      <c r="B59" s="15">
        <v>1</v>
      </c>
      <c r="C59" s="12" t="s">
        <v>17</v>
      </c>
      <c r="D59" s="13" t="e">
        <f>Automation!F125</f>
        <v>#REF!</v>
      </c>
      <c r="E59" s="13" t="e">
        <f>Automation!F124</f>
        <v>#REF!</v>
      </c>
      <c r="F59" s="13" t="e">
        <f>Automation!F120</f>
        <v>#REF!</v>
      </c>
      <c r="G59" s="13" t="e">
        <f>Automation!F121</f>
        <v>#REF!</v>
      </c>
      <c r="H59" s="13" t="e">
        <f>Automation!F122</f>
        <v>#REF!</v>
      </c>
      <c r="I59" s="13" t="e">
        <f>Automation!F123</f>
        <v>#REF!</v>
      </c>
    </row>
    <row r="60" spans="2:9" ht="15.75" customHeight="1">
      <c r="B60" s="15">
        <v>2</v>
      </c>
      <c r="C60" s="12" t="s">
        <v>18</v>
      </c>
      <c r="D60" s="13" t="e">
        <f>'[1] Hierarchy_Creation'!F74</f>
        <v>#REF!</v>
      </c>
      <c r="E60" s="13" t="e">
        <f>'[1] Hierarchy_Creation'!F73</f>
        <v>#REF!</v>
      </c>
      <c r="F60" s="13" t="e">
        <f>'[1] Hierarchy_Creation'!F69</f>
        <v>#REF!</v>
      </c>
      <c r="G60" s="13" t="e">
        <f>'[1] Hierarchy_Creation'!F70</f>
        <v>#REF!</v>
      </c>
      <c r="H60" s="13" t="e">
        <f>'[1] Hierarchy_Creation'!F71</f>
        <v>#REF!</v>
      </c>
      <c r="I60" s="13" t="e">
        <f>'[1] Hierarchy_Creation'!F72</f>
        <v>#REF!</v>
      </c>
    </row>
    <row r="61" spans="2:9" ht="15.75" customHeight="1">
      <c r="B61" s="15">
        <v>3</v>
      </c>
      <c r="C61" s="12" t="s">
        <v>19</v>
      </c>
      <c r="D61" s="13" t="e">
        <f>[2]User_Control!F43</f>
        <v>#REF!</v>
      </c>
      <c r="E61" s="13" t="e">
        <f>[2]User_Control!F42</f>
        <v>#REF!</v>
      </c>
      <c r="F61" s="13" t="e">
        <f>[2]User_Control!F38</f>
        <v>#REF!</v>
      </c>
      <c r="G61" s="13" t="e">
        <f>[2]User_Control!F39</f>
        <v>#REF!</v>
      </c>
      <c r="H61" s="13" t="e">
        <f>[2]User_Control!F40</f>
        <v>#REF!</v>
      </c>
      <c r="I61" s="13" t="e">
        <f>[2]User_Control!F41</f>
        <v>#REF!</v>
      </c>
    </row>
    <row r="62" spans="2:9" ht="15.75" customHeight="1">
      <c r="B62" s="15">
        <v>4</v>
      </c>
      <c r="C62" s="12" t="s">
        <v>20</v>
      </c>
      <c r="D62" s="13" t="e">
        <f>[3]Home_Page!F59</f>
        <v>#REF!</v>
      </c>
      <c r="E62" s="13" t="e">
        <f>[3]Home_Page!F58</f>
        <v>#REF!</v>
      </c>
      <c r="F62" s="13" t="e">
        <f>[3]Home_Page!F54</f>
        <v>#REF!</v>
      </c>
      <c r="G62" s="13" t="e">
        <f>[3]Home_Page!F55</f>
        <v>#REF!</v>
      </c>
      <c r="H62" s="13" t="e">
        <f>[3]Home_Page!F56</f>
        <v>#REF!</v>
      </c>
      <c r="I62" s="13" t="e">
        <f>[3]Home_Page!F57</f>
        <v>#REF!</v>
      </c>
    </row>
    <row r="63" spans="2:9" ht="15.75" customHeight="1">
      <c r="B63" s="15">
        <v>5</v>
      </c>
      <c r="C63" s="12" t="s">
        <v>21</v>
      </c>
      <c r="D63" s="13" t="e">
        <f>[4]FlooHierarchy_edit_delete!F81</f>
        <v>#REF!</v>
      </c>
      <c r="E63" s="13" t="e">
        <f>[4]FlooHierarchy_edit_delete!F80</f>
        <v>#REF!</v>
      </c>
      <c r="F63" s="13" t="e">
        <f>[4]FlooHierarchy_edit_delete!F76</f>
        <v>#REF!</v>
      </c>
      <c r="G63" s="13" t="e">
        <f>[4]FlooHierarchy_edit_delete!F77</f>
        <v>#REF!</v>
      </c>
      <c r="H63" s="13" t="e">
        <f>[4]FlooHierarchy_edit_delete!F78</f>
        <v>#REF!</v>
      </c>
      <c r="I63" s="13" t="e">
        <f>[4]FlooHierarchy_edit_delete!F79</f>
        <v>#REF!</v>
      </c>
    </row>
    <row r="64" spans="2:9" ht="15.75" customHeight="1">
      <c r="B64" s="15">
        <v>6</v>
      </c>
      <c r="C64" s="12" t="s">
        <v>22</v>
      </c>
      <c r="D64" s="13" t="e">
        <f>[5]Add_Switchboard!E74</f>
        <v>#REF!</v>
      </c>
      <c r="E64" s="13" t="e">
        <f>[5]Add_Switchboard!E73</f>
        <v>#REF!</v>
      </c>
      <c r="F64" s="13" t="e">
        <f>[5]Add_Switchboard!E69</f>
        <v>#REF!</v>
      </c>
      <c r="G64" s="13" t="e">
        <f>[5]Add_Switchboard!E70</f>
        <v>#REF!</v>
      </c>
      <c r="H64" s="13" t="e">
        <f>[5]Add_Switchboard!E71</f>
        <v>#REF!</v>
      </c>
      <c r="I64" s="13" t="e">
        <f>[5]Add_Switchboard!E72</f>
        <v>#REF!</v>
      </c>
    </row>
    <row r="65" spans="2:9" ht="15.75" customHeight="1">
      <c r="B65" s="15">
        <v>7</v>
      </c>
      <c r="C65" s="12" t="s">
        <v>23</v>
      </c>
      <c r="D65" s="13" t="e">
        <f>[6]Connectivity!G99</f>
        <v>#REF!</v>
      </c>
      <c r="E65" s="13" t="e">
        <f>[6]Connectivity!G98</f>
        <v>#REF!</v>
      </c>
      <c r="F65" s="13" t="e">
        <f>[6]Connectivity!G94</f>
        <v>#REF!</v>
      </c>
      <c r="G65" s="13" t="e">
        <f>[6]Connectivity!G95</f>
        <v>#REF!</v>
      </c>
      <c r="H65" s="13" t="e">
        <f>[6]Connectivity!G96</f>
        <v>#REF!</v>
      </c>
      <c r="I65" s="13" t="e">
        <f>[6]Connectivity!G97</f>
        <v>#REF!</v>
      </c>
    </row>
    <row r="66" spans="2:9" ht="15.75" customHeight="1">
      <c r="B66" s="15">
        <v>8</v>
      </c>
      <c r="C66" s="12" t="s">
        <v>24</v>
      </c>
      <c r="D66" s="13" t="e">
        <f>[7]Analytics!F187</f>
        <v>#REF!</v>
      </c>
      <c r="E66" s="13" t="e">
        <f>[7]Analytics!F186</f>
        <v>#REF!</v>
      </c>
      <c r="F66" s="13" t="e">
        <f>[7]Analytics!F183</f>
        <v>#REF!</v>
      </c>
      <c r="G66" s="13" t="e">
        <f>[7]Analytics!F183</f>
        <v>#REF!</v>
      </c>
      <c r="H66" s="13" t="e">
        <f>[7]Analytics!F184</f>
        <v>#REF!</v>
      </c>
      <c r="I66" s="13" t="e">
        <f>[7]Analytics!F185</f>
        <v>#REF!</v>
      </c>
    </row>
    <row r="67" spans="2:9" ht="15.75" customHeight="1">
      <c r="B67" s="15">
        <v>9</v>
      </c>
      <c r="C67" s="12" t="s">
        <v>25</v>
      </c>
      <c r="D67" s="13" t="e">
        <f>'[8]Setting &amp; Profile'!F126</f>
        <v>#REF!</v>
      </c>
      <c r="E67" s="13" t="e">
        <f>'[8]Setting &amp; Profile'!F125</f>
        <v>#REF!</v>
      </c>
      <c r="F67" s="13" t="e">
        <f>'[8]Setting &amp; Profile'!F121</f>
        <v>#REF!</v>
      </c>
      <c r="G67" s="13" t="e">
        <f>'[8]Setting &amp; Profile'!F122</f>
        <v>#REF!</v>
      </c>
      <c r="H67" s="13" t="e">
        <f>'[8]Setting &amp; Profile'!F123</f>
        <v>#REF!</v>
      </c>
      <c r="I67" s="13" t="e">
        <f>'[8]Setting &amp; Profile'!F124</f>
        <v>#REF!</v>
      </c>
    </row>
    <row r="68" spans="2:9" ht="15.75" customHeight="1">
      <c r="B68" s="15">
        <v>10</v>
      </c>
      <c r="C68" s="12" t="s">
        <v>26</v>
      </c>
      <c r="D68" s="13" t="e">
        <f>[9]Notification!F96</f>
        <v>#REF!</v>
      </c>
      <c r="E68" s="13" t="e">
        <f>[9]Notification!F95</f>
        <v>#REF!</v>
      </c>
      <c r="F68" s="13" t="e">
        <f>[9]Notification!F91</f>
        <v>#REF!</v>
      </c>
      <c r="G68" s="13" t="e">
        <f>[9]Notification!F92</f>
        <v>#REF!</v>
      </c>
      <c r="H68" s="13" t="e">
        <f>[9]Notification!F92</f>
        <v>#REF!</v>
      </c>
      <c r="I68" s="13" t="e">
        <f>[9]Notification!F94</f>
        <v>#REF!</v>
      </c>
    </row>
    <row r="69" spans="2:9" ht="15.75" customHeight="1">
      <c r="B69" s="15">
        <v>11</v>
      </c>
      <c r="C69" s="12" t="s">
        <v>27</v>
      </c>
      <c r="D69" s="13" t="e">
        <f>[10]Pairing!E178</f>
        <v>#REF!</v>
      </c>
      <c r="E69" s="13" t="e">
        <f>[10]Pairing!E177</f>
        <v>#REF!</v>
      </c>
      <c r="F69" s="13" t="e">
        <f>[10]Pairing!E173</f>
        <v>#REF!</v>
      </c>
      <c r="G69" s="13" t="e">
        <f>[10]Pairing!E174</f>
        <v>#REF!</v>
      </c>
      <c r="H69" s="13" t="e">
        <f>[10]Pairing!E175</f>
        <v>#REF!</v>
      </c>
      <c r="I69" s="13" t="e">
        <f>[10]Pairing!E176</f>
        <v>#REF!</v>
      </c>
    </row>
    <row r="70" spans="2:9" ht="15.75" customHeight="1">
      <c r="B70" s="15">
        <v>12</v>
      </c>
      <c r="C70" s="12" t="s">
        <v>28</v>
      </c>
      <c r="D70" s="13" t="e">
        <f>[11]Scheduler!G109</f>
        <v>#REF!</v>
      </c>
      <c r="E70" s="13" t="e">
        <f>[11]Scheduler!G108</f>
        <v>#REF!</v>
      </c>
      <c r="F70" s="13" t="e">
        <f>[11]Scheduler!G104</f>
        <v>#REF!</v>
      </c>
      <c r="G70" s="13" t="e">
        <f>[11]Scheduler!G105</f>
        <v>#REF!</v>
      </c>
      <c r="H70" s="13" t="e">
        <f>[11]Scheduler!G106</f>
        <v>#REF!</v>
      </c>
      <c r="I70" s="13" t="e">
        <f>[11]Scheduler!G107</f>
        <v>#REF!</v>
      </c>
    </row>
    <row r="71" spans="2:9" ht="15.75" customHeight="1">
      <c r="B71" s="15">
        <v>13</v>
      </c>
      <c r="C71" s="12" t="s">
        <v>29</v>
      </c>
      <c r="D71" s="13" t="e">
        <f>[16]Device_Settings!G216</f>
        <v>#REF!</v>
      </c>
      <c r="E71" s="13" t="e">
        <f>[16]Device_Settings!G215</f>
        <v>#REF!</v>
      </c>
      <c r="F71" s="13" t="e">
        <f>[16]Device_Settings!G211</f>
        <v>#REF!</v>
      </c>
      <c r="G71" s="13" t="e">
        <f>[16]Device_Settings!G212</f>
        <v>#REF!</v>
      </c>
      <c r="H71" s="13" t="e">
        <f>[16]Device_Settings!G213</f>
        <v>#REF!</v>
      </c>
      <c r="I71" s="13" t="e">
        <f>[16]Device_Settings!G214</f>
        <v>#REF!</v>
      </c>
    </row>
    <row r="72" spans="2:9" ht="15.75" customHeight="1">
      <c r="B72" s="15">
        <v>14</v>
      </c>
      <c r="C72" s="12" t="s">
        <v>30</v>
      </c>
      <c r="D72" s="13" t="e">
        <f>[14]Multi_Device!G134</f>
        <v>#REF!</v>
      </c>
      <c r="E72" s="13" t="e">
        <f>[14]Multi_Device!G133</f>
        <v>#REF!</v>
      </c>
      <c r="F72" s="13" t="e">
        <f>[14]Multi_Device!G129</f>
        <v>#REF!</v>
      </c>
      <c r="G72" s="13" t="e">
        <f>[14]Multi_Device!G130</f>
        <v>#REF!</v>
      </c>
      <c r="H72" s="13" t="e">
        <f>[14]Multi_Device!G131</f>
        <v>#REF!</v>
      </c>
      <c r="I72" s="13" t="e">
        <f>[14]Multi_Device!G132</f>
        <v>#REF!</v>
      </c>
    </row>
    <row r="73" spans="2:9" ht="15.75" customHeight="1">
      <c r="B73" s="15">
        <v>15</v>
      </c>
      <c r="C73" s="12" t="s">
        <v>31</v>
      </c>
      <c r="D73" s="18" t="e">
        <f>[15]OFF!F65</f>
        <v>#REF!</v>
      </c>
      <c r="E73" s="18" t="e">
        <f>[15]OFF!F64</f>
        <v>#REF!</v>
      </c>
      <c r="F73" s="18" t="e">
        <f>[15]OFF!F60</f>
        <v>#REF!</v>
      </c>
      <c r="G73" s="18" t="e">
        <f>[15]OFF!F61</f>
        <v>#REF!</v>
      </c>
      <c r="H73" s="18" t="e">
        <f>[15]OFF!F62</f>
        <v>#REF!</v>
      </c>
      <c r="I73" s="15" t="e">
        <f>[15]OFF!F63</f>
        <v>#REF!</v>
      </c>
    </row>
    <row r="74" spans="2:9" ht="15.75" customHeight="1">
      <c r="C74" s="12" t="s">
        <v>32</v>
      </c>
      <c r="D74" s="18"/>
      <c r="E74" s="18"/>
      <c r="F74" s="18"/>
      <c r="G74" s="18"/>
      <c r="H74" s="18"/>
      <c r="I74" s="18"/>
    </row>
    <row r="75" spans="2:9" ht="15.75" customHeight="1">
      <c r="C75" s="22" t="s">
        <v>39</v>
      </c>
      <c r="D75" s="18" t="e">
        <f t="shared" ref="D75:I75" si="8">SUM(D59:D73)</f>
        <v>#REF!</v>
      </c>
      <c r="E75" s="18" t="e">
        <f t="shared" si="8"/>
        <v>#REF!</v>
      </c>
      <c r="F75" s="18" t="e">
        <f t="shared" si="8"/>
        <v>#REF!</v>
      </c>
      <c r="G75" s="18" t="e">
        <f t="shared" si="8"/>
        <v>#REF!</v>
      </c>
      <c r="H75" s="18" t="e">
        <f t="shared" si="8"/>
        <v>#REF!</v>
      </c>
      <c r="I75" s="18" t="e">
        <f t="shared" si="8"/>
        <v>#REF!</v>
      </c>
    </row>
    <row r="76" spans="2:9" ht="15.75" customHeight="1">
      <c r="C76" s="23"/>
      <c r="D76" s="23"/>
      <c r="E76" s="20"/>
      <c r="I76" s="3"/>
    </row>
    <row r="77" spans="2:9" ht="15.75" customHeight="1">
      <c r="C77" s="226" t="s">
        <v>35</v>
      </c>
      <c r="D77" s="227"/>
      <c r="E77" s="20"/>
      <c r="I77" s="3"/>
    </row>
    <row r="78" spans="2:9" ht="15.75" customHeight="1">
      <c r="C78" s="228"/>
      <c r="D78" s="229"/>
      <c r="E78" s="20"/>
      <c r="I78" s="3"/>
    </row>
    <row r="79" spans="2:9" ht="15.75" customHeight="1"/>
    <row r="80" spans="2:9" ht="15.75" customHeight="1">
      <c r="B80" s="230" t="s">
        <v>40</v>
      </c>
      <c r="C80" s="220"/>
      <c r="D80" s="220"/>
      <c r="E80" s="221"/>
      <c r="I80" s="3"/>
    </row>
    <row r="81" spans="2:9" ht="15.75" customHeight="1">
      <c r="E81" s="4"/>
      <c r="I81" s="3"/>
    </row>
    <row r="82" spans="2:9" ht="15.75" customHeight="1">
      <c r="E82" s="222" t="s">
        <v>2</v>
      </c>
      <c r="F82" s="223"/>
      <c r="G82" s="223"/>
      <c r="H82" s="223"/>
      <c r="I82" s="224"/>
    </row>
    <row r="83" spans="2:9" ht="15.75" customHeight="1">
      <c r="B83" s="5" t="s">
        <v>3</v>
      </c>
      <c r="C83" s="5" t="s">
        <v>37</v>
      </c>
      <c r="D83" s="5" t="s">
        <v>5</v>
      </c>
      <c r="E83" s="6" t="s">
        <v>6</v>
      </c>
      <c r="F83" s="7" t="s">
        <v>7</v>
      </c>
      <c r="G83" s="8" t="s">
        <v>8</v>
      </c>
      <c r="H83" s="9" t="s">
        <v>9</v>
      </c>
      <c r="I83" s="5" t="s">
        <v>10</v>
      </c>
    </row>
    <row r="84" spans="2:9" ht="15.75" customHeight="1">
      <c r="B84" s="15">
        <v>1</v>
      </c>
      <c r="C84" s="12" t="s">
        <v>17</v>
      </c>
      <c r="D84" s="13" t="e">
        <f>Automation!F133</f>
        <v>#REF!</v>
      </c>
      <c r="E84" s="13" t="e">
        <f>Automation!F132</f>
        <v>#REF!</v>
      </c>
      <c r="F84" s="13" t="e">
        <f>Automation!F128</f>
        <v>#REF!</v>
      </c>
      <c r="G84" s="13" t="e">
        <f>Automation!F129</f>
        <v>#REF!</v>
      </c>
      <c r="H84" s="13" t="e">
        <f>Automation!F130</f>
        <v>#REF!</v>
      </c>
      <c r="I84" s="13" t="e">
        <f>Automation!F131</f>
        <v>#REF!</v>
      </c>
    </row>
    <row r="85" spans="2:9" ht="15.75" customHeight="1">
      <c r="B85" s="15">
        <v>2</v>
      </c>
      <c r="C85" s="12" t="s">
        <v>18</v>
      </c>
      <c r="D85" s="13" t="e">
        <f>'[1] Hierarchy_Creation'!F82</f>
        <v>#REF!</v>
      </c>
      <c r="E85" s="13" t="e">
        <f>'[1] Hierarchy_Creation'!F81</f>
        <v>#REF!</v>
      </c>
      <c r="F85" s="13" t="e">
        <f>'[1] Hierarchy_Creation'!F77</f>
        <v>#REF!</v>
      </c>
      <c r="G85" s="13" t="e">
        <f>'[1] Hierarchy_Creation'!F78</f>
        <v>#REF!</v>
      </c>
      <c r="H85" s="13" t="e">
        <f>'[1] Hierarchy_Creation'!F79</f>
        <v>#REF!</v>
      </c>
      <c r="I85" s="13" t="e">
        <f>'[1] Hierarchy_Creation'!F80</f>
        <v>#REF!</v>
      </c>
    </row>
    <row r="86" spans="2:9" ht="15.75" customHeight="1">
      <c r="B86" s="15">
        <v>3</v>
      </c>
      <c r="C86" s="12" t="s">
        <v>19</v>
      </c>
      <c r="D86" s="13" t="e">
        <f>[2]User_Control!F51</f>
        <v>#REF!</v>
      </c>
      <c r="E86" s="13" t="e">
        <f>[2]User_Control!F50</f>
        <v>#REF!</v>
      </c>
      <c r="F86" s="13" t="e">
        <f>[2]User_Control!F46</f>
        <v>#REF!</v>
      </c>
      <c r="G86" s="13" t="e">
        <f>[2]User_Control!F47</f>
        <v>#REF!</v>
      </c>
      <c r="H86" s="13" t="e">
        <f>[2]User_Control!F48</f>
        <v>#REF!</v>
      </c>
      <c r="I86" s="13" t="e">
        <f>[2]User_Control!F49</f>
        <v>#REF!</v>
      </c>
    </row>
    <row r="87" spans="2:9" ht="15.75" customHeight="1">
      <c r="B87" s="15">
        <v>4</v>
      </c>
      <c r="C87" s="12" t="s">
        <v>20</v>
      </c>
      <c r="D87" s="13" t="e">
        <f>[3]Home_Page!F67</f>
        <v>#REF!</v>
      </c>
      <c r="E87" s="13" t="e">
        <f>[3]Home_Page!F66</f>
        <v>#REF!</v>
      </c>
      <c r="F87" s="13" t="e">
        <f>[3]Home_Page!F62</f>
        <v>#REF!</v>
      </c>
      <c r="G87" s="13" t="e">
        <f>[3]Home_Page!F63</f>
        <v>#REF!</v>
      </c>
      <c r="H87" s="13" t="e">
        <f>[3]Home_Page!F64</f>
        <v>#REF!</v>
      </c>
      <c r="I87" s="13" t="e">
        <f>[3]Home_Page!F65</f>
        <v>#REF!</v>
      </c>
    </row>
    <row r="88" spans="2:9" ht="15.75" customHeight="1">
      <c r="B88" s="15">
        <v>5</v>
      </c>
      <c r="C88" s="12" t="s">
        <v>21</v>
      </c>
      <c r="D88" s="13" t="e">
        <f>[4]FlooHierarchy_edit_delete!F89</f>
        <v>#REF!</v>
      </c>
      <c r="E88" s="13" t="e">
        <f>[4]FlooHierarchy_edit_delete!F88</f>
        <v>#REF!</v>
      </c>
      <c r="F88" s="13" t="e">
        <f>[4]FlooHierarchy_edit_delete!F84</f>
        <v>#REF!</v>
      </c>
      <c r="G88" s="13" t="e">
        <f>[4]FlooHierarchy_edit_delete!F85</f>
        <v>#REF!</v>
      </c>
      <c r="H88" s="13" t="e">
        <f>[4]FlooHierarchy_edit_delete!F86</f>
        <v>#REF!</v>
      </c>
      <c r="I88" s="13" t="e">
        <f>[4]FlooHierarchy_edit_delete!F87</f>
        <v>#REF!</v>
      </c>
    </row>
    <row r="89" spans="2:9" ht="15.75" customHeight="1">
      <c r="B89" s="15">
        <v>6</v>
      </c>
      <c r="C89" s="12" t="s">
        <v>22</v>
      </c>
      <c r="D89" s="13" t="e">
        <f>[10]Pairing!E186</f>
        <v>#REF!</v>
      </c>
      <c r="E89" s="13" t="e">
        <f>[10]Pairing!E185</f>
        <v>#REF!</v>
      </c>
      <c r="F89" s="13" t="e">
        <f>[10]Pairing!E181</f>
        <v>#REF!</v>
      </c>
      <c r="G89" s="13" t="e">
        <f>[10]Pairing!E182</f>
        <v>#REF!</v>
      </c>
      <c r="H89" s="13" t="e">
        <f>[10]Pairing!E183</f>
        <v>#REF!</v>
      </c>
      <c r="I89" s="13" t="e">
        <f>[10]Pairing!E184</f>
        <v>#REF!</v>
      </c>
    </row>
    <row r="90" spans="2:9" ht="15.75" customHeight="1">
      <c r="B90" s="15">
        <v>7</v>
      </c>
      <c r="C90" s="12" t="s">
        <v>23</v>
      </c>
      <c r="D90" s="13" t="e">
        <f>[6]Connectivity!G108</f>
        <v>#REF!</v>
      </c>
      <c r="E90" s="13" t="e">
        <f>[6]Connectivity!G107</f>
        <v>#REF!</v>
      </c>
      <c r="F90" s="13" t="e">
        <f>[6]Connectivity!G103</f>
        <v>#REF!</v>
      </c>
      <c r="G90" s="13" t="e">
        <f>[6]Connectivity!G104</f>
        <v>#REF!</v>
      </c>
      <c r="H90" s="13" t="e">
        <f>[6]Connectivity!G105</f>
        <v>#REF!</v>
      </c>
      <c r="I90" s="13" t="e">
        <f>[6]Connectivity!G106</f>
        <v>#REF!</v>
      </c>
    </row>
    <row r="91" spans="2:9" ht="15.75" customHeight="1">
      <c r="B91" s="15">
        <v>8</v>
      </c>
      <c r="C91" s="12" t="s">
        <v>24</v>
      </c>
      <c r="D91" s="13" t="e">
        <f>[7]Analytics!F195</f>
        <v>#REF!</v>
      </c>
      <c r="E91" s="13" t="e">
        <f>[7]Analytics!F194</f>
        <v>#REF!</v>
      </c>
      <c r="F91" s="13" t="e">
        <f>[7]Analytics!F190</f>
        <v>#REF!</v>
      </c>
      <c r="G91" s="13" t="e">
        <f>[7]Analytics!F191</f>
        <v>#REF!</v>
      </c>
      <c r="H91" s="13" t="e">
        <f>[7]Analytics!F192</f>
        <v>#REF!</v>
      </c>
      <c r="I91" s="13" t="e">
        <f>[7]Analytics!F193</f>
        <v>#REF!</v>
      </c>
    </row>
    <row r="92" spans="2:9" ht="15.75" customHeight="1">
      <c r="B92" s="15">
        <v>9</v>
      </c>
      <c r="C92" s="12" t="s">
        <v>25</v>
      </c>
      <c r="D92" s="13" t="e">
        <f>'[8]Setting &amp; Profile'!F134</f>
        <v>#REF!</v>
      </c>
      <c r="E92" s="13" t="e">
        <f>'[8]Setting &amp; Profile'!F133</f>
        <v>#REF!</v>
      </c>
      <c r="F92" s="13" t="e">
        <f>'[8]Setting &amp; Profile'!F129</f>
        <v>#REF!</v>
      </c>
      <c r="G92" s="13" t="e">
        <f>'[8]Setting &amp; Profile'!F130</f>
        <v>#REF!</v>
      </c>
      <c r="H92" s="13" t="e">
        <f>'[8]Setting &amp; Profile'!F131</f>
        <v>#REF!</v>
      </c>
      <c r="I92" s="13" t="e">
        <f>'[8]Setting &amp; Profile'!F132</f>
        <v>#REF!</v>
      </c>
    </row>
    <row r="93" spans="2:9" ht="15.75" customHeight="1">
      <c r="B93" s="15">
        <v>10</v>
      </c>
      <c r="C93" s="12" t="s">
        <v>26</v>
      </c>
      <c r="D93" s="13" t="e">
        <f>[9]Notification!F104</f>
        <v>#REF!</v>
      </c>
      <c r="E93" s="13" t="e">
        <f>[9]Notification!F103</f>
        <v>#REF!</v>
      </c>
      <c r="F93" s="13" t="e">
        <f>[9]Notification!F99</f>
        <v>#REF!</v>
      </c>
      <c r="G93" s="13" t="e">
        <f>[9]Notification!F100</f>
        <v>#REF!</v>
      </c>
      <c r="H93" s="13" t="e">
        <f>[9]Notification!F101</f>
        <v>#REF!</v>
      </c>
      <c r="I93" s="13" t="e">
        <f>[9]Notification!F102</f>
        <v>#REF!</v>
      </c>
    </row>
    <row r="94" spans="2:9" ht="15.75" customHeight="1">
      <c r="B94" s="15">
        <v>11</v>
      </c>
      <c r="C94" s="12" t="s">
        <v>27</v>
      </c>
      <c r="D94" s="18" t="e">
        <f>[10]Pairing!E186</f>
        <v>#REF!</v>
      </c>
      <c r="E94" s="13" t="e">
        <f>[10]Pairing!E185</f>
        <v>#REF!</v>
      </c>
      <c r="F94" s="18" t="e">
        <f>[10]Pairing!E181</f>
        <v>#REF!</v>
      </c>
      <c r="G94" s="18" t="e">
        <f>[10]Pairing!E182</f>
        <v>#REF!</v>
      </c>
      <c r="H94" s="18" t="e">
        <f>[10]Pairing!E183</f>
        <v>#REF!</v>
      </c>
      <c r="I94" s="18" t="e">
        <f>[10]Pairing!E184</f>
        <v>#REF!</v>
      </c>
    </row>
    <row r="95" spans="2:9" ht="15.75" customHeight="1">
      <c r="B95" s="15">
        <v>12</v>
      </c>
      <c r="C95" s="12" t="s">
        <v>28</v>
      </c>
      <c r="D95" s="18" t="e">
        <f>[11]Scheduler!G109</f>
        <v>#REF!</v>
      </c>
      <c r="E95" s="13" t="e">
        <f>[11]Scheduler!G108</f>
        <v>#REF!</v>
      </c>
      <c r="F95" s="18" t="e">
        <f>[11]Scheduler!G104</f>
        <v>#REF!</v>
      </c>
      <c r="G95" s="18" t="e">
        <f>[11]Scheduler!G105</f>
        <v>#REF!</v>
      </c>
      <c r="H95" s="18" t="e">
        <f>[11]Scheduler!G105</f>
        <v>#REF!</v>
      </c>
      <c r="I95" s="18" t="e">
        <f>[11]Scheduler!G107</f>
        <v>#REF!</v>
      </c>
    </row>
    <row r="96" spans="2:9" ht="15.75" customHeight="1">
      <c r="B96" s="15">
        <v>13</v>
      </c>
      <c r="C96" s="12" t="s">
        <v>29</v>
      </c>
      <c r="D96" s="18" t="e">
        <f>[16]Device_Settings!G216</f>
        <v>#REF!</v>
      </c>
      <c r="E96" s="13" t="e">
        <f>[16]Device_Settings!G215</f>
        <v>#REF!</v>
      </c>
      <c r="F96" s="18" t="e">
        <f>[16]Device_Settings!G211</f>
        <v>#REF!</v>
      </c>
      <c r="G96" s="18" t="e">
        <f>[16]Device_Settings!G212</f>
        <v>#REF!</v>
      </c>
      <c r="H96" s="18" t="e">
        <f>[16]Device_Settings!G213</f>
        <v>#REF!</v>
      </c>
      <c r="I96" s="18" t="e">
        <f>[16]Device_Settings!G214</f>
        <v>#REF!</v>
      </c>
    </row>
    <row r="97" spans="2:9" ht="15.75" customHeight="1">
      <c r="B97" s="15">
        <v>14</v>
      </c>
      <c r="C97" s="12" t="s">
        <v>30</v>
      </c>
      <c r="D97" s="18" t="e">
        <f>[14]Multi_Device!G134</f>
        <v>#REF!</v>
      </c>
      <c r="E97" s="13" t="e">
        <f>[14]Multi_Device!G133</f>
        <v>#REF!</v>
      </c>
      <c r="F97" s="18" t="e">
        <f>[14]Multi_Device!G129</f>
        <v>#REF!</v>
      </c>
      <c r="G97" s="18" t="e">
        <f>[14]Multi_Device!G130</f>
        <v>#REF!</v>
      </c>
      <c r="H97" s="18" t="e">
        <f>[14]Multi_Device!G131</f>
        <v>#REF!</v>
      </c>
      <c r="I97" s="18" t="e">
        <f>[14]Multi_Device!G132</f>
        <v>#REF!</v>
      </c>
    </row>
    <row r="98" spans="2:9" ht="15.75" customHeight="1">
      <c r="B98" s="15">
        <v>15</v>
      </c>
      <c r="C98" s="12" t="s">
        <v>31</v>
      </c>
      <c r="D98" s="18" t="e">
        <f>[15]OFF!F81</f>
        <v>#REF!</v>
      </c>
      <c r="E98" s="18" t="e">
        <f>[15]OFF!F80</f>
        <v>#REF!</v>
      </c>
      <c r="F98" s="18" t="e">
        <f>[15]OFF!F76</f>
        <v>#REF!</v>
      </c>
      <c r="G98" s="18" t="e">
        <f>[15]OFF!F77</f>
        <v>#REF!</v>
      </c>
      <c r="H98" s="18" t="e">
        <f>[15]OFF!F78</f>
        <v>#REF!</v>
      </c>
      <c r="I98" s="18" t="e">
        <f>[15]OFF!F79</f>
        <v>#REF!</v>
      </c>
    </row>
    <row r="99" spans="2:9" ht="15.75" customHeight="1">
      <c r="B99" s="15">
        <v>16</v>
      </c>
      <c r="C99" s="12" t="s">
        <v>32</v>
      </c>
      <c r="D99" s="18"/>
      <c r="E99" s="18"/>
      <c r="F99" s="18"/>
      <c r="G99" s="18"/>
      <c r="H99" s="18"/>
      <c r="I99" s="18"/>
    </row>
    <row r="100" spans="2:9" ht="15.75" customHeight="1">
      <c r="C100" s="22" t="s">
        <v>39</v>
      </c>
      <c r="D100" s="18" t="e">
        <f t="shared" ref="D100:I100" si="9">SUM(D84:D98)</f>
        <v>#REF!</v>
      </c>
      <c r="E100" s="18" t="e">
        <f t="shared" si="9"/>
        <v>#REF!</v>
      </c>
      <c r="F100" s="18" t="e">
        <f t="shared" si="9"/>
        <v>#REF!</v>
      </c>
      <c r="G100" s="18" t="e">
        <f t="shared" si="9"/>
        <v>#REF!</v>
      </c>
      <c r="H100" s="18" t="e">
        <f t="shared" si="9"/>
        <v>#REF!</v>
      </c>
      <c r="I100" s="18" t="e">
        <f t="shared" si="9"/>
        <v>#REF!</v>
      </c>
    </row>
    <row r="101" spans="2:9" ht="15.75" customHeight="1">
      <c r="C101" s="23"/>
      <c r="D101" s="23"/>
      <c r="E101" s="20"/>
      <c r="I101" s="3"/>
    </row>
    <row r="102" spans="2:9" ht="15.75" customHeight="1">
      <c r="C102" s="226" t="s">
        <v>35</v>
      </c>
      <c r="D102" s="227"/>
      <c r="E102" s="20"/>
      <c r="I102" s="3"/>
    </row>
    <row r="103" spans="2:9" ht="15.75" customHeight="1">
      <c r="C103" s="228"/>
      <c r="D103" s="229"/>
      <c r="E103" s="20"/>
      <c r="I103" s="3"/>
    </row>
    <row r="104" spans="2:9" ht="15.75" customHeight="1"/>
    <row r="105" spans="2:9" ht="15.75" customHeight="1"/>
    <row r="106" spans="2:9" ht="14.4">
      <c r="B106" s="230" t="s">
        <v>41</v>
      </c>
      <c r="C106" s="220"/>
      <c r="D106" s="220"/>
      <c r="E106" s="221"/>
      <c r="I106" s="3"/>
    </row>
    <row r="107" spans="2:9" ht="15.75" customHeight="1">
      <c r="E107" s="4"/>
      <c r="I107" s="3"/>
    </row>
    <row r="108" spans="2:9" ht="15.75" customHeight="1">
      <c r="E108" s="222" t="s">
        <v>2</v>
      </c>
      <c r="F108" s="223"/>
      <c r="G108" s="223"/>
      <c r="H108" s="223"/>
      <c r="I108" s="224"/>
    </row>
    <row r="109" spans="2:9" ht="15.75" customHeight="1">
      <c r="B109" s="5" t="s">
        <v>3</v>
      </c>
      <c r="C109" s="5" t="s">
        <v>37</v>
      </c>
      <c r="D109" s="5" t="s">
        <v>5</v>
      </c>
      <c r="E109" s="6" t="s">
        <v>6</v>
      </c>
      <c r="F109" s="7" t="s">
        <v>7</v>
      </c>
      <c r="G109" s="8" t="s">
        <v>8</v>
      </c>
      <c r="H109" s="9" t="s">
        <v>9</v>
      </c>
      <c r="I109" s="5" t="s">
        <v>10</v>
      </c>
    </row>
    <row r="110" spans="2:9" ht="15.75" customHeight="1">
      <c r="B110" s="15">
        <v>1</v>
      </c>
      <c r="C110" s="12" t="s">
        <v>17</v>
      </c>
      <c r="D110" s="13" t="e">
        <f>Automation!F141</f>
        <v>#REF!</v>
      </c>
      <c r="E110" s="13" t="e">
        <f>Automation!F140</f>
        <v>#REF!</v>
      </c>
      <c r="F110" s="13" t="e">
        <f>Automation!F136</f>
        <v>#REF!</v>
      </c>
      <c r="G110" s="13" t="e">
        <f>Automation!F137</f>
        <v>#REF!</v>
      </c>
      <c r="H110" s="13" t="e">
        <f>Automation!F138</f>
        <v>#REF!</v>
      </c>
      <c r="I110" s="13" t="e">
        <f>Automation!F139</f>
        <v>#REF!</v>
      </c>
    </row>
    <row r="111" spans="2:9" ht="15.75" customHeight="1">
      <c r="B111" s="15">
        <v>2</v>
      </c>
      <c r="C111" s="12" t="s">
        <v>18</v>
      </c>
      <c r="D111" s="13" t="e">
        <f>'[1] Hierarchy_Creation'!F90</f>
        <v>#REF!</v>
      </c>
      <c r="E111" s="13" t="e">
        <f>'[1] Hierarchy_Creation'!F89</f>
        <v>#REF!</v>
      </c>
      <c r="F111" s="13" t="e">
        <f>'[1] Hierarchy_Creation'!F85</f>
        <v>#REF!</v>
      </c>
      <c r="G111" s="13" t="e">
        <f>'[1] Hierarchy_Creation'!F86</f>
        <v>#REF!</v>
      </c>
      <c r="H111" s="13" t="e">
        <f>'[1] Hierarchy_Creation'!F87</f>
        <v>#REF!</v>
      </c>
      <c r="I111" s="13" t="e">
        <f>'[1] Hierarchy_Creation'!F88</f>
        <v>#REF!</v>
      </c>
    </row>
    <row r="112" spans="2:9" ht="15.75" customHeight="1">
      <c r="B112" s="15">
        <v>3</v>
      </c>
      <c r="C112" s="12" t="s">
        <v>19</v>
      </c>
      <c r="D112" s="13" t="e">
        <f>[2]User_Control!F82</f>
        <v>#REF!</v>
      </c>
      <c r="E112" s="13" t="e">
        <f>[2]User_Control!F81</f>
        <v>#REF!</v>
      </c>
      <c r="F112" s="13" t="e">
        <f>[2]User_Control!F77</f>
        <v>#REF!</v>
      </c>
      <c r="G112" s="13" t="e">
        <f>[2]User_Control!F78</f>
        <v>#REF!</v>
      </c>
      <c r="H112" s="13" t="e">
        <f>[2]User_Control!F79</f>
        <v>#REF!</v>
      </c>
      <c r="I112" s="13" t="e">
        <f>[2]User_Control!F80</f>
        <v>#REF!</v>
      </c>
    </row>
    <row r="113" spans="2:9" ht="15.75" customHeight="1">
      <c r="B113" s="15">
        <v>4</v>
      </c>
      <c r="C113" s="12" t="s">
        <v>20</v>
      </c>
      <c r="D113" s="13" t="e">
        <f>[3]Home_Page!F98</f>
        <v>#REF!</v>
      </c>
      <c r="E113" s="13" t="e">
        <f>[3]Home_Page!F97</f>
        <v>#REF!</v>
      </c>
      <c r="F113" s="13" t="e">
        <f>[3]Home_Page!F93</f>
        <v>#REF!</v>
      </c>
      <c r="G113" s="13" t="e">
        <f>[3]Home_Page!F94</f>
        <v>#REF!</v>
      </c>
      <c r="H113" s="13" t="e">
        <f>[3]Home_Page!F95</f>
        <v>#REF!</v>
      </c>
      <c r="I113" s="13" t="e">
        <f>[3]Home_Page!F96</f>
        <v>#REF!</v>
      </c>
    </row>
    <row r="114" spans="2:9" ht="15.75" customHeight="1">
      <c r="B114" s="15">
        <v>5</v>
      </c>
      <c r="C114" s="12" t="s">
        <v>21</v>
      </c>
      <c r="D114" s="13" t="e">
        <f>[4]FlooHierarchy_edit_delete!F97</f>
        <v>#REF!</v>
      </c>
      <c r="E114" s="13" t="e">
        <f>[4]FlooHierarchy_edit_delete!F96</f>
        <v>#REF!</v>
      </c>
      <c r="F114" s="13" t="e">
        <f>[4]FlooHierarchy_edit_delete!F92</f>
        <v>#REF!</v>
      </c>
      <c r="G114" s="13" t="e">
        <f>[4]FlooHierarchy_edit_delete!F93</f>
        <v>#REF!</v>
      </c>
      <c r="H114" s="13" t="e">
        <f>[4]FlooHierarchy_edit_delete!F94</f>
        <v>#REF!</v>
      </c>
      <c r="I114" s="13" t="e">
        <f>[4]FlooHierarchy_edit_delete!F95</f>
        <v>#REF!</v>
      </c>
    </row>
    <row r="115" spans="2:9" ht="15.75" customHeight="1">
      <c r="B115" s="15">
        <v>6</v>
      </c>
      <c r="C115" s="12" t="s">
        <v>22</v>
      </c>
      <c r="D115" s="13" t="e">
        <f>[10]Pairing!E209</f>
        <v>#REF!</v>
      </c>
      <c r="E115" s="13" t="e">
        <f>[10]Pairing!E208</f>
        <v>#REF!</v>
      </c>
      <c r="F115" s="13" t="e">
        <f>[10]Pairing!E204</f>
        <v>#REF!</v>
      </c>
      <c r="G115" s="13" t="e">
        <f>[10]Pairing!E205</f>
        <v>#REF!</v>
      </c>
      <c r="H115" s="13" t="e">
        <f>[10]Pairing!E206</f>
        <v>#REF!</v>
      </c>
      <c r="I115" s="13" t="e">
        <f>[10]Pairing!E207</f>
        <v>#REF!</v>
      </c>
    </row>
    <row r="116" spans="2:9" ht="15.75" customHeight="1">
      <c r="B116" s="15">
        <v>7</v>
      </c>
      <c r="C116" s="12" t="s">
        <v>23</v>
      </c>
      <c r="D116" s="13" t="e">
        <f>[6]Connectivity!G131</f>
        <v>#REF!</v>
      </c>
      <c r="E116" s="13" t="e">
        <f>[6]Connectivity!G130</f>
        <v>#REF!</v>
      </c>
      <c r="F116" s="13" t="e">
        <f>[6]Connectivity!G126</f>
        <v>#REF!</v>
      </c>
      <c r="G116" s="13" t="e">
        <f>[6]Connectivity!G127</f>
        <v>#REF!</v>
      </c>
      <c r="H116" s="13" t="e">
        <f>[6]Connectivity!G128</f>
        <v>#REF!</v>
      </c>
      <c r="I116" s="13" t="e">
        <f>[6]Connectivity!G129</f>
        <v>#REF!</v>
      </c>
    </row>
    <row r="117" spans="2:9" ht="15.75" customHeight="1">
      <c r="B117" s="15">
        <v>8</v>
      </c>
      <c r="C117" s="12" t="s">
        <v>24</v>
      </c>
      <c r="D117" s="13" t="e">
        <f>[7]Analytics!F218</f>
        <v>#REF!</v>
      </c>
      <c r="E117" s="13" t="e">
        <f>[7]Analytics!F217</f>
        <v>#REF!</v>
      </c>
      <c r="F117" s="13" t="e">
        <f>[7]Analytics!F213</f>
        <v>#REF!</v>
      </c>
      <c r="G117" s="13" t="e">
        <f>[7]Analytics!F214</f>
        <v>#REF!</v>
      </c>
      <c r="H117" s="13" t="e">
        <f>[7]Analytics!F215</f>
        <v>#REF!</v>
      </c>
      <c r="I117" s="13" t="e">
        <f>[7]Analytics!F216</f>
        <v>#REF!</v>
      </c>
    </row>
    <row r="118" spans="2:9" ht="15.75" customHeight="1">
      <c r="B118" s="15">
        <v>9</v>
      </c>
      <c r="C118" s="12" t="s">
        <v>25</v>
      </c>
      <c r="D118" s="13" t="e">
        <f>'[8]Setting &amp; Profile'!F165</f>
        <v>#REF!</v>
      </c>
      <c r="E118" s="13" t="e">
        <f>'[8]Setting &amp; Profile'!F164</f>
        <v>#REF!</v>
      </c>
      <c r="F118" s="13" t="e">
        <f>'[8]Setting &amp; Profile'!F160</f>
        <v>#REF!</v>
      </c>
      <c r="G118" s="13" t="e">
        <f>'[8]Setting &amp; Profile'!F161</f>
        <v>#REF!</v>
      </c>
      <c r="H118" s="13" t="e">
        <f>'[8]Setting &amp; Profile'!F162</f>
        <v>#REF!</v>
      </c>
      <c r="I118" s="13" t="e">
        <f>'[8]Setting &amp; Profile'!F163</f>
        <v>#REF!</v>
      </c>
    </row>
    <row r="119" spans="2:9" ht="15.75" customHeight="1">
      <c r="B119" s="15">
        <v>10</v>
      </c>
      <c r="C119" s="12" t="s">
        <v>26</v>
      </c>
      <c r="D119" s="13" t="e">
        <f>[9]Notification!F127</f>
        <v>#REF!</v>
      </c>
      <c r="E119" s="13" t="e">
        <f>[9]Notification!F126</f>
        <v>#REF!</v>
      </c>
      <c r="F119" s="13" t="e">
        <f>[9]Notification!F122</f>
        <v>#REF!</v>
      </c>
      <c r="G119" s="13" t="e">
        <f>[9]Notification!F123</f>
        <v>#REF!</v>
      </c>
      <c r="H119" s="13" t="e">
        <f>[9]Notification!F124</f>
        <v>#REF!</v>
      </c>
      <c r="I119" s="13" t="e">
        <f>[9]Notification!F125</f>
        <v>#REF!</v>
      </c>
    </row>
    <row r="120" spans="2:9" ht="15.75" customHeight="1">
      <c r="B120" s="15">
        <v>11</v>
      </c>
      <c r="C120" s="12" t="s">
        <v>27</v>
      </c>
      <c r="D120" s="18" t="e">
        <f>[10]Pairing!E209</f>
        <v>#REF!</v>
      </c>
      <c r="E120" s="13" t="e">
        <f>[10]Pairing!E208</f>
        <v>#REF!</v>
      </c>
      <c r="F120" s="18" t="e">
        <f>[10]Pairing!E204</f>
        <v>#REF!</v>
      </c>
      <c r="G120" s="18" t="e">
        <f>[10]Pairing!E205</f>
        <v>#REF!</v>
      </c>
      <c r="H120" s="18" t="e">
        <f>[10]Pairing!E206</f>
        <v>#REF!</v>
      </c>
      <c r="I120" s="18" t="e">
        <f>[10]Pairing!E207</f>
        <v>#REF!</v>
      </c>
    </row>
    <row r="121" spans="2:9" ht="15.75" customHeight="1">
      <c r="B121" s="15">
        <v>12</v>
      </c>
      <c r="C121" s="12" t="s">
        <v>28</v>
      </c>
      <c r="D121" s="18" t="e">
        <f>[11]Scheduler!G140</f>
        <v>#REF!</v>
      </c>
      <c r="E121" s="13" t="e">
        <f>[11]Scheduler!G139</f>
        <v>#REF!</v>
      </c>
      <c r="F121" s="18"/>
      <c r="G121" s="18"/>
      <c r="H121" s="18"/>
      <c r="I121" s="18"/>
    </row>
    <row r="122" spans="2:9" ht="15.75" customHeight="1">
      <c r="B122" s="15">
        <v>13</v>
      </c>
      <c r="C122" s="12" t="s">
        <v>29</v>
      </c>
      <c r="D122" s="18"/>
      <c r="E122" s="13"/>
      <c r="F122" s="18"/>
      <c r="G122" s="18"/>
      <c r="H122" s="18"/>
      <c r="I122" s="18"/>
    </row>
    <row r="123" spans="2:9" ht="15.75" customHeight="1">
      <c r="B123" s="15">
        <v>14</v>
      </c>
      <c r="C123" s="12" t="s">
        <v>30</v>
      </c>
      <c r="D123" s="18" t="e">
        <f>[14]Multi_Device!G165</f>
        <v>#REF!</v>
      </c>
      <c r="E123" s="13" t="e">
        <f>[14]Multi_Device!G164</f>
        <v>#REF!</v>
      </c>
      <c r="F123" s="24"/>
      <c r="G123" s="24"/>
      <c r="H123" s="24"/>
      <c r="I123" s="24"/>
    </row>
    <row r="124" spans="2:9" ht="15.75" customHeight="1">
      <c r="B124" s="15">
        <v>15</v>
      </c>
      <c r="C124" s="12" t="s">
        <v>31</v>
      </c>
      <c r="D124" s="18" t="e">
        <f>[15]OFF!F73</f>
        <v>#REF!</v>
      </c>
      <c r="E124" s="18" t="e">
        <f>[15]OFF!F72</f>
        <v>#REF!</v>
      </c>
      <c r="F124" s="18" t="e">
        <f>[15]OFF!F68</f>
        <v>#REF!</v>
      </c>
      <c r="G124" s="18" t="e">
        <f>[15]OFF!F69</f>
        <v>#REF!</v>
      </c>
      <c r="H124" s="18" t="e">
        <f>[15]OFF!F70</f>
        <v>#REF!</v>
      </c>
      <c r="I124" s="18" t="e">
        <f>[15]OFF!F71</f>
        <v>#REF!</v>
      </c>
    </row>
    <row r="125" spans="2:9" ht="15.75" customHeight="1">
      <c r="B125" s="15">
        <v>16</v>
      </c>
      <c r="C125" s="12" t="s">
        <v>32</v>
      </c>
      <c r="D125" s="18"/>
      <c r="E125" s="18"/>
      <c r="F125" s="18"/>
      <c r="G125" s="18"/>
      <c r="H125" s="18"/>
      <c r="I125" s="18"/>
    </row>
    <row r="126" spans="2:9" ht="15.75" customHeight="1">
      <c r="B126" s="15"/>
      <c r="C126" s="22" t="s">
        <v>39</v>
      </c>
      <c r="D126" s="18" t="e">
        <f t="shared" ref="D126:I126" si="10">SUM(D110:D124)</f>
        <v>#REF!</v>
      </c>
      <c r="E126" s="18" t="e">
        <f t="shared" si="10"/>
        <v>#REF!</v>
      </c>
      <c r="F126" s="18" t="e">
        <f t="shared" si="10"/>
        <v>#REF!</v>
      </c>
      <c r="G126" s="18" t="e">
        <f t="shared" si="10"/>
        <v>#REF!</v>
      </c>
      <c r="H126" s="18" t="e">
        <f t="shared" si="10"/>
        <v>#REF!</v>
      </c>
      <c r="I126" s="18" t="e">
        <f t="shared" si="10"/>
        <v>#REF!</v>
      </c>
    </row>
    <row r="127" spans="2:9" ht="15.75" customHeight="1">
      <c r="C127" s="23"/>
      <c r="D127" s="23"/>
      <c r="E127" s="20"/>
      <c r="I127" s="3"/>
    </row>
    <row r="128" spans="2:9" ht="15.75" customHeight="1">
      <c r="C128" s="226" t="s">
        <v>35</v>
      </c>
      <c r="D128" s="227"/>
      <c r="E128" s="20"/>
      <c r="I128" s="3"/>
    </row>
    <row r="129" spans="3:9" ht="15.75" customHeight="1">
      <c r="C129" s="228"/>
      <c r="D129" s="229"/>
      <c r="E129" s="20"/>
      <c r="I129" s="3"/>
    </row>
    <row r="130" spans="3:9" ht="15.75" customHeight="1"/>
    <row r="131" spans="3:9" ht="15.75" customHeight="1"/>
    <row r="132" spans="3:9" ht="15.75" customHeight="1"/>
    <row r="133" spans="3:9" ht="15.75" customHeight="1"/>
    <row r="134" spans="3:9" ht="15.75" customHeight="1"/>
    <row r="135" spans="3:9" ht="15.75" customHeight="1"/>
    <row r="136" spans="3:9" ht="15.75" customHeight="1"/>
    <row r="137" spans="3:9" ht="15.75" customHeight="1"/>
    <row r="138" spans="3:9" ht="15.75" customHeight="1"/>
    <row r="139" spans="3:9" ht="15.75" customHeight="1"/>
    <row r="140" spans="3:9" ht="15.75" customHeight="1"/>
    <row r="141" spans="3:9" ht="15.75" customHeight="1"/>
    <row r="142" spans="3:9" ht="15.75" customHeight="1"/>
    <row r="143" spans="3:9" ht="15.75" customHeight="1"/>
    <row r="144" spans="3:9"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16">
    <mergeCell ref="E31:I31"/>
    <mergeCell ref="C51:D52"/>
    <mergeCell ref="C102:D103"/>
    <mergeCell ref="C128:D129"/>
    <mergeCell ref="B55:E55"/>
    <mergeCell ref="E57:I57"/>
    <mergeCell ref="C77:D78"/>
    <mergeCell ref="B80:E80"/>
    <mergeCell ref="E82:I82"/>
    <mergeCell ref="B106:E106"/>
    <mergeCell ref="E108:I108"/>
    <mergeCell ref="B2:E2"/>
    <mergeCell ref="E4:I4"/>
    <mergeCell ref="N23:O23"/>
    <mergeCell ref="C24:D25"/>
    <mergeCell ref="B29:E29"/>
  </mergeCells>
  <conditionalFormatting sqref="M6:O21 P6:Q24">
    <cfRule type="cellIs" dxfId="25" priority="1" operator="between">
      <formula>"0%"</formula>
      <formula>"40%"</formula>
    </cfRule>
  </conditionalFormatting>
  <conditionalFormatting sqref="M6:O21 P6:Q24">
    <cfRule type="cellIs" dxfId="24" priority="2" operator="between">
      <formula>"40%"</formula>
      <formula>"80%"</formula>
    </cfRule>
  </conditionalFormatting>
  <conditionalFormatting sqref="M6:O21 P6:Q24">
    <cfRule type="cellIs" dxfId="23" priority="3" operator="between">
      <formula>"80%"</formula>
      <formula>"100%"</formula>
    </cfRule>
  </conditionalFormatting>
  <conditionalFormatting sqref="M6:O21 P6:Q24">
    <cfRule type="notContainsBlanks" dxfId="22" priority="4">
      <formula>LEN(TRIM(M6))&gt;0</formula>
    </cfRule>
  </conditionalFormatting>
  <hyperlinks>
    <hyperlink ref="C6" location="Automation!A1" display="Authentication"/>
    <hyperlink ref="L6" location="Automation!A1" display="Authentication"/>
    <hyperlink ref="C7" location="null!A1" display="Hierarchy_Creation"/>
    <hyperlink ref="L7" location="null!A1" display="Hierarchy_Creation"/>
    <hyperlink ref="C8" location="null!A1" display="User_Control"/>
    <hyperlink ref="L8" location="null!A1" display="User_Control"/>
    <hyperlink ref="C9" location="null!A1" display="Home_Page"/>
    <hyperlink ref="L9" location="null!A1" display="Home_Page"/>
    <hyperlink ref="C10" location="null!A1" display="FlooHierarchy_edit_delete"/>
    <hyperlink ref="L10" location="null!A1" display="FlooHierarchy_edit_delete"/>
    <hyperlink ref="C11" location="null!A1" display="Add_Switchboard"/>
    <hyperlink ref="L11" location="null!A1" display="Add_Switchboard"/>
    <hyperlink ref="C12" location="null!A1" display="Connectivity"/>
    <hyperlink ref="L12" location="null!A1" display="Connectivity"/>
    <hyperlink ref="C13" location="null!A1" display="Analytics"/>
    <hyperlink ref="L13" location="null!A1" display="Analytics"/>
    <hyperlink ref="C14" location="null!A1" display="Setting &amp; Profile"/>
    <hyperlink ref="L14" location="null!A1" display="Setting &amp; Profile"/>
    <hyperlink ref="C15" location="null!A1" display="Notification"/>
    <hyperlink ref="L15" location="null!A1" display="Notification"/>
    <hyperlink ref="C16" location="null!A1" display="Pairing"/>
    <hyperlink ref="L16" location="null!A1" display="Pairing"/>
    <hyperlink ref="C17" location="null!A1" display="Scheduler"/>
    <hyperlink ref="L17" location="null!A1" display="Scheduler"/>
    <hyperlink ref="C18" location="null!A1" display="Smart_Scene_Creation"/>
    <hyperlink ref="L18" location="null!A1" display="Smart_Scene_Creation"/>
    <hyperlink ref="C19" location="null!A1" display="Device_Settings"/>
    <hyperlink ref="L19" location="null!A1" display="Device_Settings"/>
    <hyperlink ref="C20" location="null!A1" display="Multi_device"/>
    <hyperlink ref="L20" location="null!A1" display="Multi_device"/>
    <hyperlink ref="C21" location="null!A1" display="Switch_ON/OFF"/>
    <hyperlink ref="L21" location="null!A1" display="Switch_ON/OFF"/>
    <hyperlink ref="C33" location="Automation!A1" display="Authentication"/>
    <hyperlink ref="C34" location="null!A1" display="Hierarchy_Creation"/>
    <hyperlink ref="C35" location="null!A1" display="User_Control"/>
    <hyperlink ref="C36" location="null!A1" display="Home_Page"/>
    <hyperlink ref="C37" location="null!A1" display="FlooHierarchy_edit_delete"/>
    <hyperlink ref="C38" location="null!A1" display="Add_Switchboard"/>
    <hyperlink ref="C39" location="null!A1" display="Connectivity"/>
    <hyperlink ref="C40" location="null!A1" display="Analytics"/>
    <hyperlink ref="C41" location="null!A1" display="Setting &amp; Profile"/>
    <hyperlink ref="C42" location="null!A1" display="Notification"/>
    <hyperlink ref="C43" location="null!A1" display="Pairing"/>
    <hyperlink ref="C44" location="null!A1" display="Scheduler"/>
    <hyperlink ref="C45" location="null!A1" display="Smart_Scene_Creation"/>
    <hyperlink ref="C46" location="null!A1" display="Device_Settings"/>
    <hyperlink ref="C47" location="null!A1" display="Multi_device"/>
    <hyperlink ref="C48" location="null!A1" display="Switch_ON/OFF"/>
    <hyperlink ref="C59" location="Automation!A1" display="Authentication"/>
    <hyperlink ref="C60" location="null!A1" display="Hierarchy_Creation"/>
    <hyperlink ref="C61" location="null!A1" display="User_Control"/>
    <hyperlink ref="C62" location="null!A1" display="Home_Page"/>
    <hyperlink ref="C63" location="null!A1" display="FlooHierarchy_edit_delete"/>
    <hyperlink ref="C64" location="null!A1" display="Add_Switchboard"/>
    <hyperlink ref="C65" location="null!A1" display="Connectivity"/>
    <hyperlink ref="C66" location="null!A1" display="Analytics"/>
    <hyperlink ref="C67" location="null!A1" display="Setting &amp; Profile"/>
    <hyperlink ref="C68" location="null!A1" display="Notification"/>
    <hyperlink ref="C69" location="null!A1" display="Pairing"/>
    <hyperlink ref="C70" location="null!A1" display="Scheduler"/>
    <hyperlink ref="C71" location="null!A1" display="Smart_Scene_Creation"/>
    <hyperlink ref="C72" location="null!A1" display="Device_Settings"/>
    <hyperlink ref="C73" location="null!A1" display="Multi_device"/>
    <hyperlink ref="C74" location="null!A1" display="Switch_ON/OFF"/>
    <hyperlink ref="C84" location="Automation!A1" display="Authentication"/>
    <hyperlink ref="C85" location="null!A1" display="Hierarchy_Creation"/>
    <hyperlink ref="C86" location="null!A1" display="User_Control"/>
    <hyperlink ref="C87" location="null!A1" display="Home_Page"/>
    <hyperlink ref="C88" location="null!A1" display="FlooHierarchy_edit_delete"/>
    <hyperlink ref="C89" location="null!A1" display="Add_Switchboard"/>
    <hyperlink ref="C90" location="null!A1" display="Connectivity"/>
    <hyperlink ref="C91" location="null!A1" display="Analytics"/>
    <hyperlink ref="C92" location="null!A1" display="Setting &amp; Profile"/>
    <hyperlink ref="C93" location="null!A1" display="Notification"/>
    <hyperlink ref="C94" location="null!A1" display="Pairing"/>
    <hyperlink ref="C95" location="null!A1" display="Scheduler"/>
    <hyperlink ref="C96" location="null!A1" display="Smart_Scene_Creation"/>
    <hyperlink ref="C97" location="null!A1" display="Device_Settings"/>
    <hyperlink ref="C98" location="null!A1" display="Multi_device"/>
    <hyperlink ref="C99" location="null!A1" display="Switch_ON/OFF"/>
    <hyperlink ref="C110" location="Automation!A1" display="Authentication"/>
    <hyperlink ref="C111" location="null!A1" display="Hierarchy_Creation"/>
    <hyperlink ref="C112" location="null!A1" display="User_Control"/>
    <hyperlink ref="C113" location="null!A1" display="Home_Page"/>
    <hyperlink ref="C114" location="null!A1" display="FlooHierarchy_edit_delete"/>
    <hyperlink ref="C115" location="null!A1" display="Add_Switchboard"/>
    <hyperlink ref="C116" location="null!A1" display="Connectivity"/>
    <hyperlink ref="C117" location="null!A1" display="Analytics"/>
    <hyperlink ref="C118" location="null!A1" display="Setting &amp; Profile"/>
    <hyperlink ref="C119" location="null!A1" display="Notification"/>
    <hyperlink ref="C120" location="null!A1" display="Pairing"/>
    <hyperlink ref="C121" location="null!A1" display="Scheduler"/>
    <hyperlink ref="C122" location="null!A1" display="Smart_Scene_Creation"/>
    <hyperlink ref="C123" location="null!A1" display="Device_Settings"/>
    <hyperlink ref="C124" location="null!A1" display="Multi_device"/>
    <hyperlink ref="C125" location="null!A1" display="Switch_ON/OFF"/>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sheetPr>
    <tabColor rgb="FF00FF00"/>
    <outlinePr summaryBelow="0" summaryRight="0"/>
  </sheetPr>
  <dimension ref="A1:P1034"/>
  <sheetViews>
    <sheetView tabSelected="1" workbookViewId="0">
      <pane ySplit="3" topLeftCell="A4" activePane="bottomLeft" state="frozen"/>
      <selection pane="bottomLeft" activeCell="E5" sqref="E5"/>
    </sheetView>
  </sheetViews>
  <sheetFormatPr defaultColWidth="12.59765625" defaultRowHeight="15" customHeight="1"/>
  <cols>
    <col min="1" max="1" width="4.3984375" customWidth="1"/>
    <col min="2" max="2" width="16.69921875" customWidth="1"/>
    <col min="3" max="3" width="21.796875" customWidth="1"/>
    <col min="4" max="4" width="22.5" customWidth="1"/>
    <col min="5" max="5" width="32.09765625" customWidth="1"/>
    <col min="6" max="7" width="61.09765625" customWidth="1"/>
    <col min="8" max="8" width="67.8984375" customWidth="1"/>
    <col min="9" max="9" width="7.3984375" customWidth="1"/>
    <col min="10" max="10" width="9.5" customWidth="1"/>
    <col min="11" max="11" width="10.09765625" customWidth="1"/>
    <col min="12" max="12" width="8.5" customWidth="1"/>
    <col min="13" max="13" width="11" customWidth="1"/>
    <col min="14" max="14" width="10.5" customWidth="1"/>
    <col min="15" max="15" width="10.19921875" customWidth="1"/>
  </cols>
  <sheetData>
    <row r="1" spans="1:16" ht="14.4">
      <c r="A1" s="25" t="s">
        <v>42</v>
      </c>
      <c r="D1" s="26" t="s">
        <v>43</v>
      </c>
      <c r="E1" s="4"/>
    </row>
    <row r="2" spans="1:16" ht="13.8">
      <c r="A2" s="27"/>
      <c r="B2" s="27"/>
      <c r="C2" s="27"/>
      <c r="D2" s="27"/>
      <c r="E2" s="27"/>
      <c r="F2" s="27"/>
      <c r="G2" s="27"/>
      <c r="H2" s="27"/>
      <c r="I2" s="27"/>
      <c r="J2" s="27"/>
      <c r="K2" s="27"/>
      <c r="L2" s="27"/>
      <c r="M2" s="27"/>
      <c r="N2" s="27"/>
      <c r="O2" s="27"/>
      <c r="P2" s="27"/>
    </row>
    <row r="3" spans="1:16" ht="27.6">
      <c r="A3" s="27"/>
      <c r="B3" s="28" t="s">
        <v>44</v>
      </c>
      <c r="C3" s="30" t="s">
        <v>1024</v>
      </c>
      <c r="D3" s="29" t="s">
        <v>45</v>
      </c>
      <c r="E3" s="28" t="s">
        <v>46</v>
      </c>
      <c r="F3" s="28" t="s">
        <v>47</v>
      </c>
      <c r="G3" s="30" t="s">
        <v>48</v>
      </c>
      <c r="H3" s="28" t="s">
        <v>49</v>
      </c>
      <c r="I3" s="28" t="s">
        <v>50</v>
      </c>
      <c r="J3" s="31" t="s">
        <v>1022</v>
      </c>
      <c r="K3" s="28" t="s">
        <v>52</v>
      </c>
      <c r="L3" s="28" t="s">
        <v>53</v>
      </c>
      <c r="M3" s="28" t="s">
        <v>54</v>
      </c>
      <c r="N3" s="28" t="s">
        <v>55</v>
      </c>
      <c r="O3" s="28" t="s">
        <v>56</v>
      </c>
    </row>
    <row r="4" spans="1:16" ht="69">
      <c r="B4" s="32" t="s">
        <v>57</v>
      </c>
      <c r="C4" s="119" t="s">
        <v>1026</v>
      </c>
      <c r="D4" s="33" t="s">
        <v>58</v>
      </c>
      <c r="E4" s="34" t="s">
        <v>59</v>
      </c>
      <c r="F4" s="35" t="s">
        <v>60</v>
      </c>
      <c r="G4" s="36" t="s">
        <v>61</v>
      </c>
      <c r="H4" s="35"/>
      <c r="I4" s="37" t="s">
        <v>62</v>
      </c>
      <c r="J4" t="s">
        <v>10</v>
      </c>
      <c r="K4" s="38"/>
      <c r="L4" s="24"/>
      <c r="M4" s="39"/>
      <c r="N4" s="39"/>
      <c r="O4" s="40"/>
    </row>
    <row r="5" spans="1:16" ht="160.5" customHeight="1">
      <c r="B5" s="119" t="s">
        <v>63</v>
      </c>
      <c r="C5" s="119" t="s">
        <v>1025</v>
      </c>
      <c r="D5" s="47" t="s">
        <v>64</v>
      </c>
      <c r="E5" s="34" t="s">
        <v>65</v>
      </c>
      <c r="F5" s="34" t="s">
        <v>66</v>
      </c>
      <c r="G5" s="36" t="s">
        <v>61</v>
      </c>
      <c r="H5" s="34"/>
      <c r="I5" s="37" t="s">
        <v>62</v>
      </c>
      <c r="J5" t="s">
        <v>10</v>
      </c>
      <c r="K5" s="41"/>
      <c r="L5" s="41"/>
      <c r="M5" s="41"/>
      <c r="N5" s="41"/>
      <c r="O5" s="41"/>
    </row>
    <row r="6" spans="1:16" ht="124.2">
      <c r="B6" s="119" t="s">
        <v>67</v>
      </c>
      <c r="C6" s="119" t="s">
        <v>1027</v>
      </c>
      <c r="D6" s="33" t="s">
        <v>68</v>
      </c>
      <c r="E6" s="34" t="s">
        <v>68</v>
      </c>
      <c r="F6" s="34" t="s">
        <v>69</v>
      </c>
      <c r="G6" s="36" t="s">
        <v>61</v>
      </c>
      <c r="H6" s="42"/>
      <c r="I6" s="37" t="s">
        <v>62</v>
      </c>
      <c r="J6" s="36" t="s">
        <v>10</v>
      </c>
      <c r="K6" s="41"/>
      <c r="L6" s="41"/>
      <c r="M6" s="41"/>
      <c r="N6" s="41"/>
      <c r="O6" s="41"/>
    </row>
    <row r="7" spans="1:16" ht="79.5" customHeight="1">
      <c r="B7" s="119" t="s">
        <v>70</v>
      </c>
      <c r="C7" s="119" t="s">
        <v>1021</v>
      </c>
      <c r="D7" s="33" t="s">
        <v>71</v>
      </c>
      <c r="E7" s="34" t="s">
        <v>72</v>
      </c>
      <c r="F7" s="42" t="s">
        <v>73</v>
      </c>
      <c r="G7" s="36" t="s">
        <v>61</v>
      </c>
      <c r="H7" s="42"/>
      <c r="I7" s="37" t="s">
        <v>62</v>
      </c>
      <c r="J7" s="36" t="s">
        <v>10</v>
      </c>
      <c r="K7" s="43"/>
      <c r="L7" s="41"/>
      <c r="M7" s="41"/>
      <c r="N7" s="41"/>
      <c r="O7" s="41"/>
    </row>
    <row r="8" spans="1:16" ht="72" customHeight="1">
      <c r="B8" s="119" t="s">
        <v>74</v>
      </c>
      <c r="C8" s="119" t="s">
        <v>1028</v>
      </c>
      <c r="D8" s="33" t="s">
        <v>75</v>
      </c>
      <c r="E8" s="34" t="s">
        <v>76</v>
      </c>
      <c r="F8" s="42" t="s">
        <v>77</v>
      </c>
      <c r="G8" s="36" t="s">
        <v>61</v>
      </c>
      <c r="H8" s="42"/>
      <c r="I8" s="37" t="s">
        <v>62</v>
      </c>
      <c r="J8" s="36" t="s">
        <v>10</v>
      </c>
      <c r="K8" s="41"/>
      <c r="L8" s="41"/>
      <c r="M8" s="41"/>
      <c r="N8" s="41"/>
      <c r="O8" s="41"/>
    </row>
    <row r="9" spans="1:16" ht="87" customHeight="1">
      <c r="B9" s="119" t="s">
        <v>78</v>
      </c>
      <c r="C9" s="238" t="s">
        <v>1029</v>
      </c>
      <c r="D9" s="33" t="s">
        <v>79</v>
      </c>
      <c r="E9" s="34" t="s">
        <v>80</v>
      </c>
      <c r="F9" s="42" t="s">
        <v>81</v>
      </c>
      <c r="G9" s="36" t="s">
        <v>61</v>
      </c>
      <c r="H9" s="42"/>
      <c r="I9" s="37" t="s">
        <v>62</v>
      </c>
      <c r="J9" s="232" t="s">
        <v>10</v>
      </c>
      <c r="K9" s="41"/>
      <c r="L9" s="41"/>
      <c r="M9" s="41"/>
      <c r="N9" s="41"/>
      <c r="O9" s="41"/>
    </row>
    <row r="10" spans="1:16" ht="78" customHeight="1">
      <c r="B10" s="119" t="s">
        <v>82</v>
      </c>
      <c r="C10" s="239"/>
      <c r="D10" s="33" t="s">
        <v>107</v>
      </c>
      <c r="E10" s="45" t="s">
        <v>108</v>
      </c>
      <c r="F10" s="42" t="s">
        <v>109</v>
      </c>
      <c r="G10" s="36" t="s">
        <v>61</v>
      </c>
      <c r="H10" s="44"/>
      <c r="I10" s="37" t="s">
        <v>62</v>
      </c>
      <c r="J10" s="233"/>
      <c r="K10" s="41"/>
      <c r="L10" s="41"/>
      <c r="M10" s="41"/>
      <c r="N10" s="41"/>
      <c r="O10" s="41"/>
    </row>
    <row r="11" spans="1:16" ht="82.8">
      <c r="B11" s="119" t="s">
        <v>86</v>
      </c>
      <c r="C11" s="238" t="s">
        <v>1030</v>
      </c>
      <c r="D11" s="33" t="s">
        <v>83</v>
      </c>
      <c r="E11" s="34" t="s">
        <v>84</v>
      </c>
      <c r="F11" s="42" t="s">
        <v>85</v>
      </c>
      <c r="G11" s="36" t="s">
        <v>61</v>
      </c>
      <c r="H11" s="44"/>
      <c r="I11" s="37" t="s">
        <v>62</v>
      </c>
      <c r="J11" s="232" t="s">
        <v>10</v>
      </c>
      <c r="K11" s="41"/>
      <c r="L11" s="41"/>
      <c r="M11" s="41"/>
      <c r="N11" s="41"/>
      <c r="O11" s="41"/>
    </row>
    <row r="12" spans="1:16" ht="82.8">
      <c r="B12" s="119" t="s">
        <v>89</v>
      </c>
      <c r="C12" s="239"/>
      <c r="D12" s="33" t="s">
        <v>83</v>
      </c>
      <c r="E12" s="34" t="s">
        <v>87</v>
      </c>
      <c r="F12" s="42" t="s">
        <v>88</v>
      </c>
      <c r="G12" s="36" t="s">
        <v>61</v>
      </c>
      <c r="H12" s="44"/>
      <c r="I12" s="37" t="s">
        <v>62</v>
      </c>
      <c r="J12" s="233"/>
      <c r="K12" s="41"/>
      <c r="L12" s="41"/>
      <c r="M12" s="41"/>
      <c r="N12" s="41"/>
      <c r="O12" s="41"/>
    </row>
    <row r="13" spans="1:16" ht="66" customHeight="1">
      <c r="B13" s="119" t="s">
        <v>93</v>
      </c>
      <c r="C13" s="119" t="s">
        <v>1031</v>
      </c>
      <c r="D13" s="33" t="s">
        <v>90</v>
      </c>
      <c r="E13" s="34" t="s">
        <v>91</v>
      </c>
      <c r="F13" s="42" t="s">
        <v>92</v>
      </c>
      <c r="G13" s="36" t="s">
        <v>61</v>
      </c>
      <c r="H13" s="44"/>
      <c r="I13" s="37" t="s">
        <v>62</v>
      </c>
      <c r="J13" s="36" t="s">
        <v>10</v>
      </c>
      <c r="K13" s="41"/>
      <c r="L13" s="41"/>
      <c r="M13" s="41"/>
      <c r="N13" s="41"/>
      <c r="O13" s="41"/>
    </row>
    <row r="14" spans="1:16" ht="66.75" customHeight="1">
      <c r="B14" s="119" t="s">
        <v>97</v>
      </c>
      <c r="C14" s="238" t="s">
        <v>1032</v>
      </c>
      <c r="D14" s="33" t="s">
        <v>94</v>
      </c>
      <c r="E14" s="34" t="s">
        <v>95</v>
      </c>
      <c r="F14" s="42" t="s">
        <v>96</v>
      </c>
      <c r="G14" s="36" t="s">
        <v>61</v>
      </c>
      <c r="H14" s="44"/>
      <c r="I14" s="37"/>
      <c r="J14" s="232" t="s">
        <v>10</v>
      </c>
      <c r="K14" s="41"/>
      <c r="L14" s="41"/>
      <c r="M14" s="41"/>
      <c r="N14" s="41"/>
      <c r="O14" s="41"/>
    </row>
    <row r="15" spans="1:16" ht="66.75" customHeight="1">
      <c r="B15" s="119" t="s">
        <v>100</v>
      </c>
      <c r="C15" s="240"/>
      <c r="D15" s="33" t="s">
        <v>94</v>
      </c>
      <c r="E15" s="34" t="s">
        <v>98</v>
      </c>
      <c r="F15" s="42" t="s">
        <v>99</v>
      </c>
      <c r="G15" s="36" t="s">
        <v>61</v>
      </c>
      <c r="H15" s="44"/>
      <c r="I15" s="37" t="s">
        <v>62</v>
      </c>
      <c r="J15" s="234"/>
      <c r="K15" s="41"/>
      <c r="L15" s="41"/>
      <c r="M15" s="41"/>
      <c r="N15" s="41"/>
      <c r="O15" s="41"/>
    </row>
    <row r="16" spans="1:16" ht="78" customHeight="1">
      <c r="B16" s="119" t="s">
        <v>103</v>
      </c>
      <c r="C16" s="240"/>
      <c r="D16" s="33" t="s">
        <v>94</v>
      </c>
      <c r="E16" s="34" t="s">
        <v>101</v>
      </c>
      <c r="F16" s="42" t="s">
        <v>102</v>
      </c>
      <c r="G16" s="36" t="s">
        <v>61</v>
      </c>
      <c r="H16" s="42"/>
      <c r="I16" s="37" t="s">
        <v>62</v>
      </c>
      <c r="J16" s="234"/>
      <c r="K16" s="41"/>
      <c r="L16" s="41"/>
      <c r="M16" s="41"/>
      <c r="N16" s="41"/>
      <c r="O16" s="41"/>
    </row>
    <row r="17" spans="2:15" ht="96.6">
      <c r="B17" s="119" t="s">
        <v>106</v>
      </c>
      <c r="C17" s="239"/>
      <c r="D17" s="33" t="s">
        <v>94</v>
      </c>
      <c r="E17" s="45" t="s">
        <v>104</v>
      </c>
      <c r="F17" s="42" t="s">
        <v>105</v>
      </c>
      <c r="G17" s="36" t="s">
        <v>61</v>
      </c>
      <c r="H17" s="44"/>
      <c r="I17" s="37" t="s">
        <v>62</v>
      </c>
      <c r="J17" s="233"/>
      <c r="K17" s="41"/>
      <c r="L17" s="41"/>
      <c r="M17" s="41"/>
      <c r="N17" s="41"/>
      <c r="O17" s="41"/>
    </row>
    <row r="18" spans="2:15" ht="78" customHeight="1">
      <c r="B18" s="119" t="s">
        <v>110</v>
      </c>
      <c r="C18" s="238" t="s">
        <v>1023</v>
      </c>
      <c r="D18" s="33" t="s">
        <v>111</v>
      </c>
      <c r="E18" s="34" t="s">
        <v>112</v>
      </c>
      <c r="F18" s="42" t="s">
        <v>113</v>
      </c>
      <c r="G18" s="36" t="s">
        <v>61</v>
      </c>
      <c r="H18" s="44"/>
      <c r="I18" s="37" t="s">
        <v>62</v>
      </c>
      <c r="J18" s="235" t="s">
        <v>10</v>
      </c>
      <c r="K18" s="41"/>
      <c r="L18" s="41"/>
      <c r="M18" s="41"/>
      <c r="N18" s="41"/>
      <c r="O18" s="41"/>
    </row>
    <row r="19" spans="2:15" ht="69" customHeight="1">
      <c r="B19" s="119" t="s">
        <v>114</v>
      </c>
      <c r="C19" s="240"/>
      <c r="D19" s="33" t="s">
        <v>115</v>
      </c>
      <c r="E19" s="34" t="s">
        <v>116</v>
      </c>
      <c r="F19" s="42" t="s">
        <v>117</v>
      </c>
      <c r="G19" s="36" t="s">
        <v>61</v>
      </c>
      <c r="H19" s="44"/>
      <c r="I19" s="37" t="s">
        <v>62</v>
      </c>
      <c r="J19" s="236"/>
      <c r="K19" s="41"/>
      <c r="L19" s="41"/>
      <c r="M19" s="41"/>
      <c r="N19" s="41"/>
      <c r="O19" s="41"/>
    </row>
    <row r="20" spans="2:15" ht="77.25" customHeight="1">
      <c r="B20" s="119" t="s">
        <v>118</v>
      </c>
      <c r="C20" s="239"/>
      <c r="D20" s="33" t="s">
        <v>119</v>
      </c>
      <c r="E20" s="34" t="s">
        <v>120</v>
      </c>
      <c r="F20" s="42" t="s">
        <v>121</v>
      </c>
      <c r="G20" s="36" t="s">
        <v>61</v>
      </c>
      <c r="H20" s="44"/>
      <c r="I20" s="37" t="s">
        <v>62</v>
      </c>
      <c r="J20" s="237"/>
      <c r="K20" s="41"/>
      <c r="L20" s="41"/>
      <c r="M20" s="41"/>
      <c r="N20" s="41"/>
      <c r="O20" s="41"/>
    </row>
    <row r="21" spans="2:15" ht="93.75" customHeight="1">
      <c r="B21" s="119"/>
      <c r="C21" s="119"/>
      <c r="D21" s="47"/>
      <c r="E21" s="34"/>
      <c r="F21" s="42"/>
      <c r="G21" s="42"/>
      <c r="H21" s="42"/>
      <c r="I21" s="37" t="s">
        <v>62</v>
      </c>
      <c r="J21" s="46" t="s">
        <v>10</v>
      </c>
      <c r="K21" s="48"/>
      <c r="L21" s="41"/>
      <c r="M21" s="41"/>
      <c r="N21" s="41"/>
      <c r="O21" s="41"/>
    </row>
    <row r="22" spans="2:15" ht="97.5" customHeight="1">
      <c r="B22" s="119"/>
      <c r="C22" s="216"/>
      <c r="D22" s="217"/>
      <c r="E22" s="49"/>
      <c r="F22" s="44"/>
      <c r="G22" s="44"/>
      <c r="H22" s="42"/>
      <c r="I22" s="37" t="s">
        <v>62</v>
      </c>
      <c r="J22" s="218" t="s">
        <v>10</v>
      </c>
      <c r="K22" s="41"/>
      <c r="L22" s="41"/>
      <c r="M22" s="41"/>
      <c r="N22" s="41"/>
      <c r="O22" s="41"/>
    </row>
    <row r="23" spans="2:15" ht="128.25" customHeight="1">
      <c r="B23" s="32"/>
      <c r="C23" s="119"/>
      <c r="D23" s="47"/>
      <c r="E23" s="34"/>
      <c r="F23" s="44"/>
      <c r="G23" s="44"/>
      <c r="H23" s="44"/>
      <c r="I23" s="37" t="s">
        <v>62</v>
      </c>
      <c r="J23" s="46" t="s">
        <v>10</v>
      </c>
      <c r="K23" s="41"/>
      <c r="L23" s="41"/>
      <c r="M23" s="41"/>
      <c r="N23" s="41"/>
      <c r="O23" s="41"/>
    </row>
    <row r="24" spans="2:15" ht="14.4">
      <c r="B24" s="32"/>
      <c r="C24" s="119"/>
      <c r="D24" s="47"/>
      <c r="E24" s="34"/>
      <c r="F24" s="42"/>
      <c r="G24" s="42"/>
      <c r="H24" s="42"/>
      <c r="I24" s="37" t="s">
        <v>62</v>
      </c>
      <c r="J24" s="46" t="s">
        <v>10</v>
      </c>
      <c r="K24" s="41"/>
      <c r="L24" s="41"/>
      <c r="M24" s="41"/>
      <c r="N24" s="41"/>
      <c r="O24" s="41"/>
    </row>
    <row r="25" spans="2:15" ht="83.25" customHeight="1">
      <c r="B25" s="32"/>
      <c r="C25" s="119"/>
      <c r="D25" s="47"/>
      <c r="E25" s="34"/>
      <c r="F25" s="42"/>
      <c r="G25" s="42"/>
      <c r="H25" s="44"/>
      <c r="I25" s="37" t="s">
        <v>62</v>
      </c>
      <c r="J25" s="46" t="s">
        <v>10</v>
      </c>
      <c r="K25" s="41"/>
      <c r="L25" s="41"/>
      <c r="M25" s="41"/>
      <c r="N25" s="41"/>
      <c r="O25" s="41"/>
    </row>
    <row r="26" spans="2:15" ht="96.75" customHeight="1">
      <c r="B26" s="32"/>
      <c r="C26" s="119"/>
      <c r="D26" s="47"/>
      <c r="E26" s="34"/>
      <c r="F26" s="42"/>
      <c r="G26" s="42"/>
      <c r="H26" s="42"/>
      <c r="I26" s="37" t="s">
        <v>62</v>
      </c>
      <c r="J26" s="46" t="s">
        <v>10</v>
      </c>
      <c r="K26" s="41"/>
      <c r="L26" s="41"/>
      <c r="M26" s="41"/>
      <c r="N26" s="41"/>
      <c r="O26" s="41"/>
    </row>
    <row r="27" spans="2:15" ht="177.75" customHeight="1">
      <c r="B27" s="32"/>
      <c r="C27" s="119"/>
      <c r="D27" s="47"/>
      <c r="E27" s="34"/>
      <c r="F27" s="42"/>
      <c r="G27" s="42"/>
      <c r="H27" s="42"/>
      <c r="I27" s="37" t="s">
        <v>62</v>
      </c>
      <c r="J27" s="46" t="s">
        <v>10</v>
      </c>
      <c r="K27" s="41"/>
      <c r="L27" s="41"/>
      <c r="M27" s="41"/>
      <c r="N27" s="41"/>
      <c r="O27" s="41"/>
    </row>
    <row r="28" spans="2:15" ht="88.5" customHeight="1">
      <c r="B28" s="32"/>
      <c r="C28" s="119"/>
      <c r="D28" s="47"/>
      <c r="E28" s="50"/>
      <c r="F28" s="51"/>
      <c r="G28" s="51"/>
      <c r="H28" s="52"/>
      <c r="I28" s="37" t="s">
        <v>62</v>
      </c>
      <c r="J28" s="46" t="s">
        <v>10</v>
      </c>
      <c r="K28" s="41"/>
      <c r="L28" s="41"/>
      <c r="M28" s="41"/>
      <c r="N28" s="41"/>
      <c r="O28" s="41"/>
    </row>
    <row r="29" spans="2:15" ht="66.75" customHeight="1">
      <c r="B29" s="32"/>
      <c r="C29" s="119"/>
      <c r="D29" s="47"/>
      <c r="E29" s="34"/>
      <c r="F29" s="42"/>
      <c r="G29" s="42"/>
      <c r="H29" s="42"/>
      <c r="I29" s="37" t="s">
        <v>62</v>
      </c>
      <c r="J29" s="46" t="s">
        <v>10</v>
      </c>
      <c r="K29" s="41"/>
      <c r="L29" s="41"/>
      <c r="M29" s="41"/>
      <c r="N29" s="41"/>
      <c r="O29" s="41"/>
    </row>
    <row r="30" spans="2:15" ht="15.75" customHeight="1">
      <c r="B30" s="32"/>
      <c r="C30" s="119"/>
      <c r="D30" s="47"/>
      <c r="E30" s="34"/>
      <c r="F30" s="42"/>
      <c r="G30" s="42"/>
      <c r="H30" s="42"/>
      <c r="I30" s="37" t="s">
        <v>62</v>
      </c>
      <c r="J30" s="46" t="s">
        <v>10</v>
      </c>
      <c r="K30" s="41"/>
      <c r="L30" s="41"/>
      <c r="M30" s="41"/>
      <c r="N30" s="41"/>
      <c r="O30" s="41"/>
    </row>
    <row r="31" spans="2:15" ht="15.75" customHeight="1">
      <c r="B31" s="32"/>
      <c r="C31" s="119"/>
      <c r="D31" s="47"/>
      <c r="E31" s="34"/>
      <c r="F31" s="42"/>
      <c r="G31" s="42"/>
      <c r="H31" s="42"/>
      <c r="I31" s="37" t="s">
        <v>62</v>
      </c>
      <c r="J31" s="46" t="s">
        <v>10</v>
      </c>
      <c r="K31" s="41"/>
      <c r="L31" s="41"/>
      <c r="M31" s="41"/>
      <c r="N31" s="41"/>
      <c r="O31" s="41"/>
    </row>
    <row r="32" spans="2:15" ht="92.25" customHeight="1">
      <c r="B32" s="32"/>
      <c r="C32" s="119"/>
      <c r="D32" s="47"/>
      <c r="E32" s="34"/>
      <c r="F32" s="42"/>
      <c r="G32" s="42"/>
      <c r="H32" s="53"/>
      <c r="I32" s="37" t="s">
        <v>62</v>
      </c>
      <c r="J32" s="46" t="s">
        <v>10</v>
      </c>
      <c r="K32" s="41"/>
      <c r="L32" s="41"/>
      <c r="M32" s="41"/>
      <c r="N32" s="41"/>
      <c r="O32" s="41"/>
    </row>
    <row r="33" spans="2:16" ht="66" customHeight="1">
      <c r="B33" s="32"/>
      <c r="C33" s="119"/>
      <c r="D33" s="47"/>
      <c r="E33" s="34"/>
      <c r="F33" s="42"/>
      <c r="G33" s="42"/>
      <c r="H33" s="42"/>
      <c r="I33" s="37" t="s">
        <v>62</v>
      </c>
      <c r="J33" s="46" t="s">
        <v>10</v>
      </c>
      <c r="K33" s="41"/>
      <c r="L33" s="41"/>
      <c r="M33" s="41"/>
      <c r="N33" s="41"/>
      <c r="O33" s="41"/>
    </row>
    <row r="34" spans="2:16" ht="82.5" customHeight="1">
      <c r="B34" s="32"/>
      <c r="C34" s="119"/>
      <c r="D34" s="47"/>
      <c r="E34" s="34"/>
      <c r="F34" s="42"/>
      <c r="G34" s="42"/>
      <c r="H34" s="42"/>
      <c r="I34" s="37" t="s">
        <v>62</v>
      </c>
      <c r="J34" s="46" t="s">
        <v>10</v>
      </c>
      <c r="K34" s="41"/>
      <c r="L34" s="41"/>
      <c r="M34" s="41"/>
      <c r="N34" s="41"/>
      <c r="O34" s="41"/>
    </row>
    <row r="35" spans="2:16" ht="139.5" customHeight="1">
      <c r="B35" s="32"/>
      <c r="C35" s="119"/>
      <c r="D35" s="47"/>
      <c r="E35" s="34"/>
      <c r="F35" s="42"/>
      <c r="G35" s="42"/>
      <c r="H35" s="42"/>
      <c r="I35" s="37" t="s">
        <v>62</v>
      </c>
      <c r="J35" s="46" t="s">
        <v>10</v>
      </c>
      <c r="K35" s="41"/>
      <c r="L35" s="41"/>
      <c r="M35" s="41"/>
      <c r="N35" s="41"/>
      <c r="O35" s="41"/>
    </row>
    <row r="36" spans="2:16" ht="115.5" customHeight="1">
      <c r="B36" s="32"/>
      <c r="C36" s="119"/>
      <c r="D36" s="47"/>
      <c r="E36" s="34"/>
      <c r="F36" s="42"/>
      <c r="G36" s="42"/>
      <c r="H36" s="42"/>
      <c r="I36" s="37" t="s">
        <v>62</v>
      </c>
      <c r="J36" s="46" t="s">
        <v>10</v>
      </c>
      <c r="K36" s="41"/>
      <c r="L36" s="41"/>
      <c r="M36" s="41"/>
      <c r="N36" s="41"/>
      <c r="O36" s="41"/>
    </row>
    <row r="37" spans="2:16" ht="103.5" customHeight="1">
      <c r="B37" s="32"/>
      <c r="C37" s="119"/>
      <c r="D37" s="47"/>
      <c r="E37" s="34"/>
      <c r="F37" s="42"/>
      <c r="G37" s="42"/>
      <c r="H37" s="42"/>
      <c r="I37" s="37" t="s">
        <v>62</v>
      </c>
      <c r="J37" s="46" t="s">
        <v>10</v>
      </c>
      <c r="K37" s="41"/>
      <c r="L37" s="41"/>
      <c r="M37" s="41"/>
      <c r="N37" s="41"/>
      <c r="O37" s="41"/>
    </row>
    <row r="38" spans="2:16" ht="15.75" customHeight="1">
      <c r="B38" s="32"/>
      <c r="C38" s="119"/>
      <c r="D38" s="33"/>
      <c r="E38" s="54"/>
      <c r="F38" s="55"/>
      <c r="G38" s="55"/>
      <c r="H38" s="42"/>
      <c r="I38" s="37" t="s">
        <v>62</v>
      </c>
      <c r="J38" s="46" t="s">
        <v>10</v>
      </c>
      <c r="K38" s="39"/>
      <c r="L38" s="39"/>
      <c r="M38" s="39"/>
      <c r="N38" s="39"/>
      <c r="O38" s="40"/>
    </row>
    <row r="39" spans="2:16" ht="14.4">
      <c r="B39" s="32"/>
      <c r="C39" s="119"/>
      <c r="D39" s="33"/>
      <c r="E39" s="56"/>
      <c r="F39" s="57"/>
      <c r="G39" s="57"/>
      <c r="H39" s="57"/>
      <c r="I39" s="58" t="s">
        <v>62</v>
      </c>
      <c r="J39" s="46" t="s">
        <v>10</v>
      </c>
      <c r="K39" s="39"/>
      <c r="L39" s="39"/>
      <c r="M39" s="39"/>
      <c r="N39" s="39"/>
      <c r="O39" s="40"/>
      <c r="P39" s="4"/>
    </row>
    <row r="40" spans="2:16" ht="14.4">
      <c r="B40" s="32"/>
      <c r="C40" s="119"/>
      <c r="D40" s="33"/>
      <c r="E40" s="56"/>
      <c r="F40" s="57"/>
      <c r="G40" s="57"/>
      <c r="H40" s="59"/>
      <c r="I40" s="58" t="s">
        <v>62</v>
      </c>
      <c r="J40" s="46" t="s">
        <v>10</v>
      </c>
      <c r="K40" s="39"/>
      <c r="L40" s="39"/>
      <c r="M40" s="39"/>
      <c r="N40" s="39"/>
      <c r="O40" s="40"/>
      <c r="P40" s="4"/>
    </row>
    <row r="41" spans="2:16" ht="14.4">
      <c r="B41" s="32"/>
      <c r="C41" s="119"/>
      <c r="D41" s="33"/>
      <c r="E41" s="56"/>
      <c r="F41" s="57"/>
      <c r="G41" s="57"/>
      <c r="H41" s="59"/>
      <c r="I41" s="58"/>
      <c r="J41" s="46" t="s">
        <v>10</v>
      </c>
      <c r="K41" s="39"/>
      <c r="L41" s="39"/>
      <c r="M41" s="39"/>
      <c r="N41" s="39"/>
      <c r="O41" s="40"/>
      <c r="P41" s="4"/>
    </row>
    <row r="42" spans="2:16" ht="14.4">
      <c r="B42" s="32"/>
      <c r="C42" s="119"/>
      <c r="D42" s="33"/>
      <c r="E42" s="56"/>
      <c r="F42" s="57"/>
      <c r="G42" s="57"/>
      <c r="H42" s="59"/>
      <c r="I42" s="58" t="s">
        <v>62</v>
      </c>
      <c r="J42" s="46" t="s">
        <v>10</v>
      </c>
      <c r="K42" s="39"/>
      <c r="L42" s="39"/>
      <c r="M42" s="39"/>
      <c r="N42" s="39"/>
      <c r="O42" s="40"/>
      <c r="P42" s="4"/>
    </row>
    <row r="43" spans="2:16" ht="57.6">
      <c r="B43" s="32"/>
      <c r="C43" s="119"/>
      <c r="D43" s="33"/>
      <c r="E43" s="56"/>
      <c r="F43" s="57"/>
      <c r="G43" s="57"/>
      <c r="H43" s="57"/>
      <c r="I43" s="58" t="s">
        <v>62</v>
      </c>
      <c r="J43" s="46" t="s">
        <v>10</v>
      </c>
      <c r="K43" s="60" t="s">
        <v>122</v>
      </c>
      <c r="L43" s="39"/>
      <c r="M43" s="39"/>
      <c r="N43" s="39"/>
      <c r="O43" s="40"/>
      <c r="P43" s="4"/>
    </row>
    <row r="44" spans="2:16" ht="14.4">
      <c r="B44" s="32"/>
      <c r="C44" s="119"/>
      <c r="D44" s="33"/>
      <c r="E44" s="56"/>
      <c r="F44" s="56"/>
      <c r="G44" s="56"/>
      <c r="H44" s="61"/>
      <c r="I44" s="58" t="s">
        <v>62</v>
      </c>
      <c r="J44" s="46" t="s">
        <v>10</v>
      </c>
      <c r="K44" s="39"/>
      <c r="L44" s="39"/>
      <c r="M44" s="39"/>
      <c r="N44" s="39"/>
      <c r="O44" s="40"/>
      <c r="P44" s="4"/>
    </row>
    <row r="45" spans="2:16" ht="14.4">
      <c r="B45" s="32"/>
      <c r="C45" s="119"/>
      <c r="D45" s="33"/>
      <c r="E45" s="56"/>
      <c r="F45" s="56"/>
      <c r="G45" s="56"/>
      <c r="H45" s="61"/>
      <c r="I45" s="58" t="s">
        <v>62</v>
      </c>
      <c r="J45" s="46" t="s">
        <v>10</v>
      </c>
      <c r="K45" s="39"/>
      <c r="L45" s="39"/>
      <c r="M45" s="39"/>
      <c r="N45" s="39"/>
      <c r="O45" s="40"/>
      <c r="P45" s="4"/>
    </row>
    <row r="46" spans="2:16" ht="57.6">
      <c r="B46" s="32"/>
      <c r="C46" s="119"/>
      <c r="D46" s="33"/>
      <c r="E46" s="56"/>
      <c r="F46" s="56"/>
      <c r="G46" s="56"/>
      <c r="H46" s="61"/>
      <c r="I46" s="58"/>
      <c r="J46" s="46" t="s">
        <v>10</v>
      </c>
      <c r="K46" s="60" t="s">
        <v>123</v>
      </c>
      <c r="L46" s="39"/>
      <c r="M46" s="39"/>
      <c r="N46" s="39"/>
      <c r="O46" s="40"/>
      <c r="P46" s="4"/>
    </row>
    <row r="47" spans="2:16" ht="14.4">
      <c r="B47" s="32"/>
      <c r="C47" s="119"/>
      <c r="D47" s="33"/>
      <c r="E47" s="62"/>
      <c r="F47" s="56"/>
      <c r="G47" s="56"/>
      <c r="H47" s="56"/>
      <c r="I47" s="58" t="s">
        <v>62</v>
      </c>
      <c r="J47" s="46" t="s">
        <v>10</v>
      </c>
      <c r="K47" s="39"/>
      <c r="L47" s="39"/>
      <c r="M47" s="39"/>
      <c r="N47" s="39"/>
      <c r="O47" s="40"/>
      <c r="P47" s="4"/>
    </row>
    <row r="48" spans="2:16" ht="14.4">
      <c r="B48" s="32"/>
      <c r="C48" s="119"/>
      <c r="D48" s="33"/>
      <c r="E48" s="56"/>
      <c r="F48" s="63"/>
      <c r="G48" s="63"/>
      <c r="H48" s="61"/>
      <c r="I48" s="58" t="s">
        <v>62</v>
      </c>
      <c r="J48" s="46" t="s">
        <v>10</v>
      </c>
      <c r="K48" s="39"/>
      <c r="L48" s="39"/>
      <c r="M48" s="39"/>
      <c r="N48" s="39"/>
      <c r="O48" s="40"/>
      <c r="P48" s="4"/>
    </row>
    <row r="49" spans="2:15" ht="15.75" customHeight="1">
      <c r="B49" s="32"/>
      <c r="C49" s="119"/>
      <c r="D49" s="33"/>
      <c r="E49" s="34"/>
      <c r="F49" s="64"/>
      <c r="G49" s="55"/>
      <c r="H49" s="42"/>
      <c r="I49" s="37" t="s">
        <v>62</v>
      </c>
      <c r="J49" s="46" t="s">
        <v>10</v>
      </c>
      <c r="K49" s="39" t="s">
        <v>124</v>
      </c>
      <c r="L49" s="39"/>
      <c r="M49" s="39"/>
      <c r="N49" s="39"/>
      <c r="O49" s="40"/>
    </row>
    <row r="50" spans="2:15" ht="15.75" customHeight="1">
      <c r="B50" s="32"/>
      <c r="C50" s="119"/>
      <c r="D50" s="33"/>
      <c r="E50" s="34"/>
      <c r="F50" s="65"/>
      <c r="G50" s="66"/>
      <c r="H50" s="42"/>
      <c r="I50" s="37" t="s">
        <v>62</v>
      </c>
      <c r="J50" s="46" t="s">
        <v>10</v>
      </c>
      <c r="K50" s="41"/>
      <c r="L50" s="41"/>
      <c r="M50" s="41"/>
      <c r="N50" s="41"/>
      <c r="O50" s="41"/>
    </row>
    <row r="51" spans="2:15" ht="15.75" customHeight="1">
      <c r="B51" s="32"/>
      <c r="C51" s="119"/>
      <c r="D51" s="33"/>
      <c r="E51" s="34"/>
      <c r="F51" s="64"/>
      <c r="G51" s="55"/>
      <c r="H51" s="42"/>
      <c r="I51" s="37" t="s">
        <v>62</v>
      </c>
      <c r="J51" s="46" t="s">
        <v>10</v>
      </c>
      <c r="K51" s="67"/>
      <c r="L51" s="41"/>
      <c r="M51" s="41"/>
      <c r="N51" s="41"/>
      <c r="O51" s="41"/>
    </row>
    <row r="52" spans="2:15" ht="15.75" customHeight="1">
      <c r="B52" s="68"/>
      <c r="C52" s="68"/>
      <c r="D52" s="69"/>
      <c r="H52" s="44"/>
      <c r="I52" s="58" t="s">
        <v>62</v>
      </c>
      <c r="J52" s="46" t="s">
        <v>10</v>
      </c>
    </row>
    <row r="53" spans="2:15" ht="15.75" customHeight="1">
      <c r="B53" s="28"/>
      <c r="C53" s="30"/>
      <c r="D53" s="29"/>
      <c r="E53" s="28"/>
      <c r="F53" s="28"/>
      <c r="G53" s="28"/>
      <c r="H53" s="28"/>
      <c r="I53" s="58" t="s">
        <v>62</v>
      </c>
      <c r="J53" s="46" t="s">
        <v>10</v>
      </c>
      <c r="K53" s="28" t="s">
        <v>52</v>
      </c>
      <c r="L53" s="28" t="s">
        <v>53</v>
      </c>
      <c r="M53" s="28" t="s">
        <v>54</v>
      </c>
      <c r="N53" s="28" t="s">
        <v>55</v>
      </c>
    </row>
    <row r="54" spans="2:15" ht="15.75" customHeight="1">
      <c r="B54" s="32"/>
      <c r="C54" s="119"/>
      <c r="D54" s="47"/>
      <c r="E54" s="70"/>
      <c r="F54" s="70"/>
      <c r="G54" s="70"/>
      <c r="H54" s="70"/>
      <c r="I54" s="37" t="s">
        <v>62</v>
      </c>
      <c r="J54" s="46" t="s">
        <v>10</v>
      </c>
      <c r="K54" s="41"/>
      <c r="L54" s="41"/>
      <c r="M54" s="41"/>
      <c r="N54" s="41"/>
    </row>
    <row r="55" spans="2:15" ht="15.75" customHeight="1">
      <c r="B55" s="32"/>
      <c r="C55" s="119"/>
      <c r="D55" s="47"/>
      <c r="E55" s="71"/>
      <c r="F55" s="72"/>
      <c r="G55" s="72"/>
      <c r="H55" s="73"/>
      <c r="I55" s="37" t="s">
        <v>62</v>
      </c>
      <c r="J55" s="46" t="s">
        <v>10</v>
      </c>
      <c r="K55" s="41"/>
      <c r="L55" s="41"/>
      <c r="M55" s="41"/>
      <c r="N55" s="41"/>
    </row>
    <row r="56" spans="2:15" ht="15.75" customHeight="1">
      <c r="B56" s="32"/>
      <c r="C56" s="119"/>
      <c r="D56" s="47"/>
      <c r="E56" s="74"/>
      <c r="F56" s="70"/>
      <c r="G56" s="70"/>
      <c r="H56" s="70"/>
      <c r="I56" s="37" t="s">
        <v>62</v>
      </c>
      <c r="J56" s="46" t="s">
        <v>10</v>
      </c>
      <c r="K56" s="41"/>
      <c r="L56" s="41"/>
      <c r="M56" s="41"/>
      <c r="N56" s="41"/>
    </row>
    <row r="57" spans="2:15" ht="15.75" customHeight="1">
      <c r="B57" s="32"/>
      <c r="C57" s="119"/>
      <c r="D57" s="47"/>
      <c r="E57" s="75"/>
      <c r="F57" s="70"/>
      <c r="G57" s="76"/>
      <c r="H57" s="77"/>
      <c r="I57" s="37" t="s">
        <v>62</v>
      </c>
      <c r="J57" s="46" t="s">
        <v>10</v>
      </c>
      <c r="K57" s="41" t="s">
        <v>125</v>
      </c>
      <c r="L57" s="41"/>
      <c r="M57" s="41"/>
      <c r="N57" s="41"/>
    </row>
    <row r="58" spans="2:15" ht="15.75" customHeight="1">
      <c r="B58" s="32"/>
      <c r="C58" s="119"/>
      <c r="D58" s="47"/>
      <c r="E58" s="75"/>
      <c r="F58" s="70"/>
      <c r="G58" s="76"/>
      <c r="H58" s="77"/>
      <c r="I58" s="37" t="s">
        <v>62</v>
      </c>
      <c r="J58" s="46" t="s">
        <v>10</v>
      </c>
      <c r="K58" s="41"/>
      <c r="L58" s="41"/>
      <c r="M58" s="41"/>
      <c r="N58" s="41"/>
    </row>
    <row r="59" spans="2:15" ht="15.75" customHeight="1">
      <c r="B59" s="32"/>
      <c r="C59" s="119"/>
      <c r="D59" s="47"/>
      <c r="E59" s="75"/>
      <c r="F59" s="70"/>
      <c r="G59" s="76"/>
      <c r="H59" s="77"/>
      <c r="I59" s="37" t="s">
        <v>62</v>
      </c>
      <c r="J59" s="46" t="s">
        <v>10</v>
      </c>
      <c r="K59" s="41"/>
      <c r="L59" s="41"/>
      <c r="M59" s="41"/>
      <c r="N59" s="41"/>
    </row>
    <row r="60" spans="2:15" ht="15.75" customHeight="1">
      <c r="B60" s="32"/>
      <c r="C60" s="119"/>
      <c r="D60" s="47"/>
      <c r="E60" s="75"/>
      <c r="F60" s="70"/>
      <c r="G60" s="76"/>
      <c r="H60" s="77"/>
      <c r="I60" s="37" t="s">
        <v>62</v>
      </c>
      <c r="J60" s="46" t="s">
        <v>10</v>
      </c>
      <c r="K60" s="41"/>
      <c r="L60" s="41"/>
      <c r="M60" s="41"/>
      <c r="N60" s="41"/>
    </row>
    <row r="61" spans="2:15" ht="15.75" customHeight="1">
      <c r="B61" s="32"/>
      <c r="C61" s="119"/>
      <c r="D61" s="47"/>
      <c r="E61" s="75"/>
      <c r="F61" s="70"/>
      <c r="G61" s="76"/>
      <c r="H61" s="77"/>
      <c r="I61" s="37" t="s">
        <v>62</v>
      </c>
      <c r="J61" s="46" t="s">
        <v>10</v>
      </c>
      <c r="K61" s="41"/>
      <c r="L61" s="41"/>
      <c r="M61" s="41"/>
      <c r="N61" s="41"/>
    </row>
    <row r="62" spans="2:15" ht="15.75" customHeight="1">
      <c r="B62" s="32"/>
      <c r="C62" s="119"/>
      <c r="D62" s="47"/>
      <c r="E62" s="75"/>
      <c r="F62" s="70"/>
      <c r="G62" s="76"/>
      <c r="H62" s="77"/>
      <c r="I62" s="37" t="s">
        <v>62</v>
      </c>
      <c r="J62" s="46" t="s">
        <v>10</v>
      </c>
      <c r="K62" s="41"/>
      <c r="L62" s="41"/>
      <c r="M62" s="41"/>
      <c r="N62" s="41"/>
    </row>
    <row r="63" spans="2:15" ht="15.75" customHeight="1">
      <c r="B63" s="32"/>
      <c r="C63" s="119"/>
      <c r="D63" s="47"/>
      <c r="E63" s="75"/>
      <c r="F63" s="70"/>
      <c r="G63" s="76"/>
      <c r="H63" s="77"/>
      <c r="I63" s="37" t="s">
        <v>62</v>
      </c>
      <c r="J63" s="46" t="s">
        <v>10</v>
      </c>
      <c r="K63" s="41"/>
      <c r="L63" s="41"/>
      <c r="M63" s="41"/>
      <c r="N63" s="41"/>
    </row>
    <row r="64" spans="2:15" ht="15.75" customHeight="1">
      <c r="B64" s="32"/>
      <c r="C64" s="119"/>
      <c r="D64" s="47"/>
      <c r="E64" s="75"/>
      <c r="F64" s="70"/>
      <c r="G64" s="76"/>
      <c r="H64" s="77"/>
      <c r="I64" s="37" t="s">
        <v>62</v>
      </c>
      <c r="J64" s="46" t="s">
        <v>10</v>
      </c>
      <c r="K64" s="41"/>
      <c r="L64" s="41"/>
      <c r="M64" s="41"/>
      <c r="N64" s="41"/>
    </row>
    <row r="65" spans="2:14" ht="15.75" customHeight="1">
      <c r="B65" s="32"/>
      <c r="C65" s="119"/>
      <c r="D65" s="47"/>
      <c r="E65" s="75"/>
      <c r="F65" s="70"/>
      <c r="G65" s="76"/>
      <c r="H65" s="77"/>
      <c r="I65" s="37" t="s">
        <v>62</v>
      </c>
      <c r="J65" s="46" t="s">
        <v>10</v>
      </c>
      <c r="K65" s="41"/>
      <c r="L65" s="41"/>
      <c r="M65" s="41"/>
      <c r="N65" s="41"/>
    </row>
    <row r="66" spans="2:14" ht="15.75" customHeight="1">
      <c r="B66" s="32"/>
      <c r="C66" s="119"/>
      <c r="D66" s="47"/>
      <c r="E66" s="75"/>
      <c r="F66" s="70"/>
      <c r="G66" s="76"/>
      <c r="H66" s="77"/>
      <c r="I66" s="37" t="s">
        <v>62</v>
      </c>
      <c r="J66" s="46" t="s">
        <v>10</v>
      </c>
      <c r="K66" s="41"/>
      <c r="L66" s="41"/>
      <c r="M66" s="41"/>
      <c r="N66" s="41"/>
    </row>
    <row r="67" spans="2:14" ht="15.75" customHeight="1">
      <c r="B67" s="32"/>
      <c r="C67" s="119"/>
      <c r="D67" s="47"/>
      <c r="E67" s="75"/>
      <c r="F67" s="70"/>
      <c r="G67" s="70"/>
      <c r="H67" s="78"/>
      <c r="I67" s="37" t="s">
        <v>62</v>
      </c>
      <c r="J67" s="46" t="s">
        <v>10</v>
      </c>
      <c r="K67" s="41"/>
      <c r="L67" s="41"/>
      <c r="M67" s="41"/>
      <c r="N67" s="41"/>
    </row>
    <row r="68" spans="2:14" ht="15.75" customHeight="1">
      <c r="B68" s="32"/>
      <c r="C68" s="119"/>
      <c r="D68" s="47"/>
      <c r="E68" s="75"/>
      <c r="F68" s="70"/>
      <c r="G68" s="76"/>
      <c r="H68" s="77"/>
      <c r="I68" s="37" t="s">
        <v>62</v>
      </c>
      <c r="J68" s="46" t="s">
        <v>10</v>
      </c>
      <c r="K68" s="41"/>
      <c r="L68" s="41"/>
      <c r="M68" s="41"/>
      <c r="N68" s="41"/>
    </row>
    <row r="69" spans="2:14" ht="15.75" customHeight="1">
      <c r="B69" s="32"/>
      <c r="C69" s="119"/>
      <c r="D69" s="47"/>
      <c r="E69" s="75"/>
      <c r="F69" s="70"/>
      <c r="G69" s="70"/>
      <c r="H69" s="70"/>
      <c r="I69" s="37" t="s">
        <v>62</v>
      </c>
      <c r="J69" s="46" t="s">
        <v>10</v>
      </c>
      <c r="K69" s="41"/>
      <c r="L69" s="41"/>
      <c r="M69" s="41"/>
      <c r="N69" s="41"/>
    </row>
    <row r="70" spans="2:14" ht="15.75" customHeight="1">
      <c r="B70" s="32"/>
      <c r="C70" s="119"/>
      <c r="D70" s="47"/>
      <c r="E70" s="79"/>
      <c r="F70" s="77"/>
      <c r="G70" s="77"/>
      <c r="H70" s="77"/>
      <c r="I70" s="37" t="s">
        <v>62</v>
      </c>
      <c r="J70" s="46" t="s">
        <v>10</v>
      </c>
      <c r="K70" s="41"/>
      <c r="L70" s="41"/>
      <c r="M70" s="41"/>
      <c r="N70" s="41"/>
    </row>
    <row r="71" spans="2:14" ht="15.75" customHeight="1">
      <c r="B71" s="32"/>
      <c r="C71" s="119"/>
      <c r="D71" s="47"/>
      <c r="E71" s="75"/>
      <c r="F71" s="70"/>
      <c r="G71" s="70"/>
      <c r="H71" s="70"/>
      <c r="I71" s="37" t="s">
        <v>62</v>
      </c>
      <c r="J71" s="46" t="s">
        <v>10</v>
      </c>
      <c r="K71" s="41"/>
      <c r="L71" s="41"/>
      <c r="M71" s="41"/>
      <c r="N71" s="41"/>
    </row>
    <row r="72" spans="2:14" ht="15.75" customHeight="1">
      <c r="B72" s="32"/>
      <c r="C72" s="119"/>
      <c r="D72" s="47"/>
      <c r="E72" s="75"/>
      <c r="F72" s="70"/>
      <c r="G72" s="70"/>
      <c r="H72" s="70"/>
      <c r="I72" s="37" t="s">
        <v>62</v>
      </c>
      <c r="J72" s="46" t="s">
        <v>10</v>
      </c>
      <c r="K72" s="41"/>
      <c r="L72" s="41"/>
      <c r="M72" s="41"/>
      <c r="N72" s="41"/>
    </row>
    <row r="73" spans="2:14" ht="15.75" customHeight="1">
      <c r="B73" s="32"/>
      <c r="C73" s="119"/>
      <c r="D73" s="47"/>
      <c r="E73" s="75"/>
      <c r="F73" s="70"/>
      <c r="G73" s="70"/>
      <c r="H73" s="70"/>
      <c r="I73" s="37" t="s">
        <v>62</v>
      </c>
      <c r="J73" s="46" t="s">
        <v>10</v>
      </c>
      <c r="K73" s="41"/>
      <c r="L73" s="41"/>
      <c r="M73" s="41"/>
      <c r="N73" s="41"/>
    </row>
    <row r="74" spans="2:14" ht="15.75" customHeight="1">
      <c r="B74" s="32"/>
      <c r="C74" s="119"/>
      <c r="D74" s="47"/>
      <c r="E74" s="75"/>
      <c r="F74" s="70"/>
      <c r="G74" s="70"/>
      <c r="H74" s="70"/>
      <c r="I74" s="37" t="s">
        <v>62</v>
      </c>
      <c r="J74" s="46" t="s">
        <v>10</v>
      </c>
      <c r="K74" s="41"/>
      <c r="L74" s="41"/>
      <c r="M74" s="41"/>
      <c r="N74" s="41"/>
    </row>
    <row r="75" spans="2:14" ht="15.75" customHeight="1">
      <c r="B75" s="32"/>
      <c r="C75" s="119"/>
      <c r="D75" s="47"/>
      <c r="E75" s="75"/>
      <c r="F75" s="70"/>
      <c r="G75" s="70"/>
      <c r="H75" s="80"/>
      <c r="I75" s="37" t="s">
        <v>62</v>
      </c>
      <c r="J75" s="46" t="s">
        <v>10</v>
      </c>
      <c r="K75" s="41"/>
      <c r="L75" s="41"/>
      <c r="M75" s="41"/>
      <c r="N75" s="41"/>
    </row>
    <row r="76" spans="2:14" ht="15.75" customHeight="1">
      <c r="B76" s="32"/>
      <c r="C76" s="119"/>
      <c r="D76" s="47"/>
      <c r="E76" s="75"/>
      <c r="F76" s="80"/>
      <c r="G76" s="80"/>
      <c r="H76" s="70"/>
      <c r="I76" s="37" t="s">
        <v>62</v>
      </c>
      <c r="J76" s="46" t="s">
        <v>10</v>
      </c>
      <c r="K76" s="41"/>
      <c r="L76" s="41"/>
      <c r="M76" s="41"/>
      <c r="N76" s="41"/>
    </row>
    <row r="77" spans="2:14" ht="15.75" customHeight="1">
      <c r="B77" s="32"/>
      <c r="C77" s="119"/>
      <c r="D77" s="47"/>
      <c r="E77" s="75"/>
      <c r="F77" s="80"/>
      <c r="G77" s="80"/>
      <c r="H77" s="70"/>
      <c r="I77" s="37" t="s">
        <v>62</v>
      </c>
      <c r="J77" s="46" t="s">
        <v>10</v>
      </c>
      <c r="K77" s="41"/>
      <c r="L77" s="41"/>
      <c r="M77" s="41"/>
      <c r="N77" s="41"/>
    </row>
    <row r="78" spans="2:14" ht="15.75" customHeight="1">
      <c r="B78" s="32"/>
      <c r="C78" s="119"/>
      <c r="D78" s="47"/>
      <c r="E78" s="75"/>
      <c r="F78" s="70"/>
      <c r="G78" s="70"/>
      <c r="H78" s="70"/>
      <c r="I78" s="37" t="s">
        <v>62</v>
      </c>
      <c r="J78" s="46" t="s">
        <v>10</v>
      </c>
      <c r="K78" s="41"/>
      <c r="L78" s="41"/>
      <c r="M78" s="41"/>
      <c r="N78" s="41"/>
    </row>
    <row r="79" spans="2:14" ht="15.75" customHeight="1">
      <c r="B79" s="32"/>
      <c r="C79" s="119"/>
      <c r="D79" s="47"/>
      <c r="E79" s="75"/>
      <c r="F79" s="80"/>
      <c r="G79" s="80"/>
      <c r="H79" s="81"/>
      <c r="I79" s="37" t="s">
        <v>62</v>
      </c>
      <c r="J79" s="46" t="s">
        <v>10</v>
      </c>
      <c r="K79" s="41"/>
      <c r="L79" s="41"/>
      <c r="M79" s="41"/>
      <c r="N79" s="41"/>
    </row>
    <row r="80" spans="2:14" ht="15.75" customHeight="1">
      <c r="B80" s="32"/>
      <c r="C80" s="119"/>
      <c r="D80" s="47"/>
      <c r="E80" s="75"/>
      <c r="F80" s="70"/>
      <c r="G80" s="70"/>
      <c r="H80" s="70"/>
      <c r="I80" s="37" t="s">
        <v>62</v>
      </c>
      <c r="J80" s="46" t="s">
        <v>10</v>
      </c>
      <c r="K80" s="41"/>
      <c r="L80" s="41"/>
      <c r="M80" s="41"/>
      <c r="N80" s="41"/>
    </row>
    <row r="81" spans="2:16" ht="15.75" customHeight="1">
      <c r="B81" s="32"/>
      <c r="C81" s="119"/>
      <c r="D81" s="47"/>
      <c r="E81" s="82"/>
      <c r="F81" s="70"/>
      <c r="G81" s="70"/>
      <c r="H81" s="70"/>
      <c r="I81" s="37" t="s">
        <v>62</v>
      </c>
      <c r="J81" s="46" t="s">
        <v>10</v>
      </c>
      <c r="K81" s="41"/>
      <c r="L81" s="41"/>
      <c r="M81" s="41"/>
      <c r="N81" s="41"/>
    </row>
    <row r="82" spans="2:16" ht="15.75" customHeight="1">
      <c r="B82" s="32"/>
      <c r="C82" s="119"/>
      <c r="D82" s="83"/>
      <c r="E82" s="84"/>
      <c r="F82" s="85"/>
      <c r="G82" s="85"/>
      <c r="H82" s="85"/>
      <c r="I82" s="37"/>
      <c r="J82" s="46" t="s">
        <v>10</v>
      </c>
      <c r="K82" s="86" t="s">
        <v>126</v>
      </c>
      <c r="L82" s="13"/>
      <c r="M82" s="13"/>
      <c r="N82" s="87"/>
    </row>
    <row r="83" spans="2:16" ht="15.75" customHeight="1">
      <c r="B83" s="32"/>
      <c r="C83" s="119"/>
      <c r="D83" s="83"/>
      <c r="E83" s="84"/>
      <c r="F83" s="85"/>
      <c r="G83" s="85"/>
      <c r="H83" s="85"/>
      <c r="I83" s="37"/>
      <c r="J83" s="46" t="s">
        <v>10</v>
      </c>
      <c r="K83" s="13"/>
      <c r="L83" s="13"/>
      <c r="M83" s="13"/>
      <c r="N83" s="87"/>
    </row>
    <row r="84" spans="2:16" ht="14.4">
      <c r="B84" s="32"/>
      <c r="C84" s="119"/>
      <c r="D84" s="83"/>
      <c r="E84" s="63"/>
      <c r="F84" s="88"/>
      <c r="G84" s="88"/>
      <c r="H84" s="88"/>
      <c r="I84" s="58" t="s">
        <v>62</v>
      </c>
      <c r="J84" s="46" t="s">
        <v>10</v>
      </c>
      <c r="K84" s="39"/>
      <c r="L84" s="39"/>
      <c r="M84" s="39"/>
      <c r="N84" s="39"/>
      <c r="O84" s="40"/>
      <c r="P84" s="4"/>
    </row>
    <row r="85" spans="2:16" ht="14.4">
      <c r="B85" s="32"/>
      <c r="C85" s="119"/>
      <c r="D85" s="83"/>
      <c r="E85" s="89"/>
      <c r="F85" s="90"/>
      <c r="G85" s="91"/>
      <c r="H85" s="92"/>
      <c r="I85" s="58" t="s">
        <v>62</v>
      </c>
      <c r="J85" s="46" t="s">
        <v>10</v>
      </c>
      <c r="K85" s="93" t="s">
        <v>127</v>
      </c>
      <c r="L85" s="39"/>
      <c r="M85" s="39"/>
      <c r="N85" s="39"/>
      <c r="O85" s="40"/>
      <c r="P85" s="4"/>
    </row>
    <row r="86" spans="2:16" ht="14.4">
      <c r="B86" s="32"/>
      <c r="C86" s="119"/>
      <c r="D86" s="83"/>
      <c r="E86" s="89"/>
      <c r="F86" s="90"/>
      <c r="G86" s="91"/>
      <c r="H86" s="92"/>
      <c r="I86" s="58"/>
      <c r="J86" s="46" t="s">
        <v>10</v>
      </c>
      <c r="K86" s="39"/>
      <c r="L86" s="39"/>
      <c r="M86" s="39"/>
      <c r="N86" s="39"/>
      <c r="O86" s="40"/>
      <c r="P86" s="4"/>
    </row>
    <row r="87" spans="2:16" ht="100.8">
      <c r="B87" s="32"/>
      <c r="C87" s="119"/>
      <c r="D87" s="83"/>
      <c r="E87" s="89"/>
      <c r="F87" s="90"/>
      <c r="G87" s="91"/>
      <c r="H87" s="92"/>
      <c r="I87" s="58"/>
      <c r="J87" s="46" t="s">
        <v>10</v>
      </c>
      <c r="K87" s="93" t="s">
        <v>128</v>
      </c>
      <c r="L87" s="39"/>
      <c r="M87" s="39"/>
      <c r="N87" s="39"/>
      <c r="O87" s="40"/>
      <c r="P87" s="4"/>
    </row>
    <row r="88" spans="2:16" ht="15.75" customHeight="1">
      <c r="B88" s="32"/>
      <c r="C88" s="119"/>
      <c r="D88" s="94"/>
      <c r="E88" s="34"/>
      <c r="F88" s="35"/>
      <c r="G88" s="35"/>
      <c r="H88" s="35"/>
      <c r="I88" s="37" t="s">
        <v>62</v>
      </c>
      <c r="J88" s="46" t="s">
        <v>10</v>
      </c>
      <c r="K88" s="13"/>
      <c r="L88" s="13"/>
      <c r="M88" s="13"/>
      <c r="N88" s="87"/>
    </row>
    <row r="89" spans="2:16" ht="15.75" customHeight="1">
      <c r="B89" s="32"/>
      <c r="C89" s="119"/>
      <c r="D89" s="94"/>
      <c r="E89" s="34"/>
      <c r="F89" s="95"/>
      <c r="G89" s="95"/>
      <c r="H89" s="96"/>
      <c r="I89" s="37" t="s">
        <v>62</v>
      </c>
      <c r="J89" s="46" t="s">
        <v>10</v>
      </c>
      <c r="K89" s="97"/>
      <c r="L89" s="97"/>
      <c r="M89" s="97"/>
      <c r="N89" s="98"/>
    </row>
    <row r="90" spans="2:16" ht="15.75" customHeight="1">
      <c r="B90" s="32"/>
      <c r="C90" s="119"/>
      <c r="D90" s="94"/>
      <c r="E90" s="99"/>
      <c r="F90" s="100"/>
      <c r="G90" s="101"/>
      <c r="H90" s="102"/>
      <c r="I90" s="37" t="s">
        <v>62</v>
      </c>
      <c r="J90" s="46" t="s">
        <v>10</v>
      </c>
      <c r="K90" s="103"/>
      <c r="L90" s="97"/>
      <c r="M90" s="97"/>
      <c r="N90" s="98"/>
    </row>
    <row r="91" spans="2:16" ht="15.75" customHeight="1">
      <c r="B91" s="32"/>
      <c r="C91" s="119"/>
      <c r="D91" s="94"/>
      <c r="E91" s="104"/>
      <c r="F91" s="96"/>
      <c r="G91" s="96"/>
      <c r="H91" s="96"/>
      <c r="I91" s="37" t="s">
        <v>62</v>
      </c>
      <c r="J91" s="46" t="s">
        <v>10</v>
      </c>
      <c r="K91" s="103"/>
      <c r="L91" s="103"/>
      <c r="M91" s="103"/>
      <c r="N91" s="105"/>
    </row>
    <row r="92" spans="2:16" ht="15.75" customHeight="1">
      <c r="B92" s="32"/>
      <c r="C92" s="119"/>
      <c r="D92" s="94"/>
      <c r="E92" s="104"/>
      <c r="F92" s="96"/>
      <c r="G92" s="96"/>
      <c r="H92" s="96"/>
      <c r="I92" s="37" t="s">
        <v>62</v>
      </c>
      <c r="J92" s="46" t="s">
        <v>10</v>
      </c>
      <c r="K92" s="103"/>
      <c r="L92" s="103"/>
      <c r="M92" s="103"/>
      <c r="N92" s="105"/>
    </row>
    <row r="93" spans="2:16" ht="15.75" customHeight="1">
      <c r="B93" s="32"/>
      <c r="C93" s="119"/>
      <c r="D93" s="94"/>
      <c r="E93" s="104"/>
      <c r="F93" s="106"/>
      <c r="G93" s="102"/>
      <c r="H93" s="96"/>
      <c r="I93" s="37" t="s">
        <v>62</v>
      </c>
      <c r="J93" s="46" t="s">
        <v>10</v>
      </c>
      <c r="K93" s="103"/>
      <c r="L93" s="103"/>
      <c r="M93" s="103"/>
      <c r="N93" s="105"/>
    </row>
    <row r="94" spans="2:16" ht="15.75" customHeight="1">
      <c r="B94" s="32"/>
      <c r="C94" s="119"/>
      <c r="D94" s="94"/>
      <c r="E94" s="93"/>
      <c r="F94" s="63"/>
      <c r="G94" s="63"/>
      <c r="H94" s="61"/>
      <c r="I94" s="58" t="s">
        <v>62</v>
      </c>
      <c r="J94" s="46" t="s">
        <v>10</v>
      </c>
      <c r="K94" s="39"/>
      <c r="L94" s="39"/>
      <c r="M94" s="39"/>
      <c r="N94" s="39"/>
      <c r="O94" s="40"/>
      <c r="P94" s="4"/>
    </row>
    <row r="95" spans="2:16" ht="15.75" customHeight="1">
      <c r="B95" s="32"/>
      <c r="C95" s="119"/>
      <c r="D95" s="94"/>
      <c r="E95" s="93"/>
      <c r="F95" s="63"/>
      <c r="G95" s="63"/>
      <c r="H95" s="61"/>
      <c r="I95" s="58" t="s">
        <v>62</v>
      </c>
      <c r="J95" s="46" t="s">
        <v>10</v>
      </c>
      <c r="K95" s="39"/>
      <c r="L95" s="39"/>
      <c r="M95" s="39"/>
      <c r="N95" s="39"/>
      <c r="O95" s="40"/>
      <c r="P95" s="4"/>
    </row>
    <row r="96" spans="2:16" ht="15.75" customHeight="1">
      <c r="B96" s="32"/>
      <c r="C96" s="119"/>
      <c r="D96" s="94"/>
      <c r="E96" s="89"/>
      <c r="F96" s="57"/>
      <c r="G96" s="57"/>
      <c r="H96" s="57"/>
      <c r="I96" s="58" t="s">
        <v>62</v>
      </c>
      <c r="J96" s="46" t="s">
        <v>10</v>
      </c>
      <c r="K96" s="39"/>
      <c r="L96" s="39"/>
      <c r="M96" s="39"/>
      <c r="N96" s="39"/>
      <c r="O96" s="40"/>
      <c r="P96" s="4"/>
    </row>
    <row r="97" spans="2:16" ht="15.75" customHeight="1">
      <c r="B97" s="32"/>
      <c r="C97" s="119"/>
      <c r="D97" s="94"/>
      <c r="E97" s="89"/>
      <c r="F97" s="57"/>
      <c r="G97" s="57"/>
      <c r="H97" s="57"/>
      <c r="I97" s="58" t="s">
        <v>62</v>
      </c>
      <c r="J97" s="46" t="s">
        <v>10</v>
      </c>
      <c r="K97" s="39"/>
      <c r="L97" s="39"/>
      <c r="M97" s="39"/>
      <c r="N97" s="39"/>
      <c r="O97" s="40"/>
      <c r="P97" s="4"/>
    </row>
    <row r="98" spans="2:16" ht="15.75" customHeight="1">
      <c r="B98" s="32"/>
      <c r="C98" s="119"/>
      <c r="D98" s="94"/>
      <c r="E98" s="89"/>
      <c r="F98" s="57"/>
      <c r="G98" s="57"/>
      <c r="H98" s="57"/>
      <c r="I98" s="58"/>
      <c r="J98" s="46" t="s">
        <v>10</v>
      </c>
      <c r="K98" s="39"/>
      <c r="L98" s="39"/>
      <c r="M98" s="39"/>
      <c r="N98" s="39"/>
      <c r="O98" s="40"/>
      <c r="P98" s="4"/>
    </row>
    <row r="99" spans="2:16" ht="15.75" customHeight="1">
      <c r="B99" s="32"/>
      <c r="C99" s="119"/>
      <c r="D99" s="94"/>
      <c r="E99" s="89"/>
      <c r="F99" s="57"/>
      <c r="G99" s="57"/>
      <c r="H99" s="57"/>
      <c r="I99" s="58"/>
      <c r="J99" s="46" t="s">
        <v>10</v>
      </c>
      <c r="K99" s="39"/>
      <c r="L99" s="39"/>
      <c r="M99" s="39"/>
      <c r="N99" s="39"/>
      <c r="O99" s="40"/>
      <c r="P99" s="4"/>
    </row>
    <row r="100" spans="2:16" ht="15.75" customHeight="1">
      <c r="B100" s="32"/>
      <c r="C100" s="119"/>
      <c r="D100" s="94"/>
      <c r="E100" s="89"/>
      <c r="F100" s="57"/>
      <c r="G100" s="57"/>
      <c r="H100" s="57"/>
      <c r="I100" s="58"/>
      <c r="J100" s="46" t="s">
        <v>10</v>
      </c>
      <c r="K100" s="39"/>
      <c r="L100" s="39"/>
      <c r="M100" s="39"/>
      <c r="N100" s="39"/>
      <c r="O100" s="40"/>
      <c r="P100" s="4"/>
    </row>
    <row r="101" spans="2:16" ht="15.75" customHeight="1">
      <c r="B101" s="32"/>
      <c r="C101" s="119"/>
      <c r="D101" s="94"/>
      <c r="E101" s="89"/>
      <c r="F101" s="57"/>
      <c r="G101" s="57"/>
      <c r="H101" s="57"/>
      <c r="I101" s="58"/>
      <c r="J101" s="46" t="s">
        <v>10</v>
      </c>
      <c r="K101" s="39"/>
      <c r="L101" s="39"/>
      <c r="M101" s="39"/>
      <c r="N101" s="39"/>
      <c r="O101" s="40"/>
      <c r="P101" s="4"/>
    </row>
    <row r="102" spans="2:16" ht="15.75" customHeight="1">
      <c r="B102" s="32"/>
      <c r="C102" s="119"/>
      <c r="D102" s="94"/>
      <c r="E102" s="34"/>
      <c r="F102" s="35"/>
      <c r="G102" s="35"/>
      <c r="H102" s="35"/>
      <c r="I102" s="37" t="s">
        <v>62</v>
      </c>
      <c r="J102" s="46" t="s">
        <v>10</v>
      </c>
      <c r="K102" s="13"/>
      <c r="L102" s="13"/>
      <c r="M102" s="13"/>
      <c r="N102" s="87"/>
    </row>
    <row r="103" spans="2:16" ht="15.75" customHeight="1">
      <c r="B103" s="32"/>
      <c r="C103" s="119"/>
      <c r="D103" s="94"/>
      <c r="E103" s="34"/>
      <c r="F103" s="96"/>
      <c r="G103" s="96"/>
      <c r="H103" s="96"/>
      <c r="I103" s="37" t="s">
        <v>62</v>
      </c>
      <c r="J103" s="46" t="s">
        <v>10</v>
      </c>
      <c r="K103" s="97"/>
      <c r="L103" s="97"/>
      <c r="M103" s="97"/>
      <c r="N103" s="98"/>
    </row>
    <row r="104" spans="2:16" ht="15.75" customHeight="1">
      <c r="B104" s="32"/>
      <c r="C104" s="119"/>
      <c r="D104" s="94"/>
      <c r="E104" s="34"/>
      <c r="F104" s="95"/>
      <c r="G104" s="95"/>
      <c r="H104" s="95"/>
      <c r="I104" s="37" t="s">
        <v>62</v>
      </c>
      <c r="J104" s="46" t="s">
        <v>10</v>
      </c>
      <c r="K104" s="97"/>
      <c r="L104" s="97"/>
      <c r="M104" s="97"/>
      <c r="N104" s="98"/>
    </row>
    <row r="105" spans="2:16" ht="15.75" customHeight="1">
      <c r="B105" s="32"/>
      <c r="C105" s="119"/>
      <c r="D105" s="94"/>
      <c r="E105" s="104"/>
      <c r="F105" s="95"/>
      <c r="G105" s="95"/>
      <c r="H105" s="96"/>
      <c r="I105" s="37" t="s">
        <v>62</v>
      </c>
      <c r="J105" s="46" t="s">
        <v>10</v>
      </c>
      <c r="K105" s="97"/>
      <c r="L105" s="97"/>
      <c r="M105" s="97"/>
      <c r="N105" s="98"/>
    </row>
    <row r="106" spans="2:16" ht="15.75" customHeight="1">
      <c r="B106" s="32"/>
      <c r="C106" s="119"/>
      <c r="D106" s="94"/>
      <c r="E106" s="104"/>
      <c r="F106" s="96"/>
      <c r="G106" s="96"/>
      <c r="H106" s="96"/>
      <c r="I106" s="37" t="s">
        <v>62</v>
      </c>
      <c r="J106" s="46" t="s">
        <v>10</v>
      </c>
      <c r="K106" s="107" t="s">
        <v>129</v>
      </c>
      <c r="L106" s="97"/>
      <c r="M106" s="97"/>
      <c r="N106" s="98"/>
    </row>
    <row r="107" spans="2:16" ht="15.75" customHeight="1">
      <c r="B107" s="32"/>
      <c r="C107" s="119"/>
      <c r="D107" s="94"/>
      <c r="E107" s="104"/>
      <c r="F107" s="96"/>
      <c r="G107" s="96"/>
      <c r="H107" s="95"/>
      <c r="I107" s="37" t="s">
        <v>62</v>
      </c>
      <c r="J107" s="46" t="s">
        <v>10</v>
      </c>
      <c r="K107" s="107" t="s">
        <v>129</v>
      </c>
      <c r="L107" s="97"/>
      <c r="M107" s="97"/>
      <c r="N107" s="98"/>
    </row>
    <row r="108" spans="2:16" ht="15.75" customHeight="1"/>
    <row r="109" spans="2:16" ht="15.75" customHeight="1"/>
    <row r="110" spans="2:16" ht="15.75" customHeight="1"/>
    <row r="111" spans="2:16" ht="15.75" customHeight="1">
      <c r="E111" s="231" t="s">
        <v>130</v>
      </c>
      <c r="F111" s="224"/>
      <c r="G111" s="108"/>
    </row>
    <row r="112" spans="2:16" ht="15.75" customHeight="1">
      <c r="E112" s="109" t="s">
        <v>7</v>
      </c>
      <c r="F112" s="110">
        <f>COUNTIF(J4:J107,E112)</f>
        <v>0</v>
      </c>
      <c r="G112" s="3"/>
    </row>
    <row r="113" spans="5:7" ht="15.75" customHeight="1">
      <c r="E113" s="109" t="s">
        <v>8</v>
      </c>
      <c r="F113" s="110">
        <f>COUNTIF(J4:J107,E113)</f>
        <v>0</v>
      </c>
      <c r="G113" s="3"/>
    </row>
    <row r="114" spans="5:7" ht="15.75" customHeight="1">
      <c r="E114" s="109" t="s">
        <v>9</v>
      </c>
      <c r="F114" s="110">
        <f>COUNTIF(J4:J107,E114)</f>
        <v>0</v>
      </c>
      <c r="G114" s="3"/>
    </row>
    <row r="115" spans="5:7" ht="15.75" customHeight="1">
      <c r="E115" s="109" t="s">
        <v>10</v>
      </c>
      <c r="F115" s="110">
        <f>COUNTIF(J4:J107,E115)</f>
        <v>97</v>
      </c>
      <c r="G115" s="3"/>
    </row>
    <row r="116" spans="5:7" ht="15.75" customHeight="1">
      <c r="E116" s="109" t="s">
        <v>6</v>
      </c>
      <c r="F116" s="110">
        <f>SUM(F112:F114)</f>
        <v>0</v>
      </c>
      <c r="G116" s="3"/>
    </row>
    <row r="117" spans="5:7" ht="15.75" customHeight="1">
      <c r="E117" s="109" t="s">
        <v>39</v>
      </c>
      <c r="F117" s="110">
        <f>SUM(F112:F115)</f>
        <v>97</v>
      </c>
      <c r="G117" s="3"/>
    </row>
    <row r="118" spans="5:7" ht="15.75" customHeight="1"/>
    <row r="119" spans="5:7" ht="15.75" customHeight="1">
      <c r="E119" s="231" t="s">
        <v>131</v>
      </c>
      <c r="F119" s="224"/>
      <c r="G119" s="108"/>
    </row>
    <row r="120" spans="5:7" ht="15.75" customHeight="1">
      <c r="E120" s="109" t="s">
        <v>7</v>
      </c>
      <c r="F120" s="110" t="e">
        <f t="shared" ref="F120:F123" si="0">COUNTIF(#REF!,E120)</f>
        <v>#REF!</v>
      </c>
      <c r="G120" s="3"/>
    </row>
    <row r="121" spans="5:7" ht="15.75" customHeight="1">
      <c r="E121" s="109" t="s">
        <v>8</v>
      </c>
      <c r="F121" s="110" t="e">
        <f t="shared" si="0"/>
        <v>#REF!</v>
      </c>
      <c r="G121" s="3"/>
    </row>
    <row r="122" spans="5:7" ht="15.75" customHeight="1">
      <c r="E122" s="109" t="s">
        <v>9</v>
      </c>
      <c r="F122" s="110" t="e">
        <f t="shared" si="0"/>
        <v>#REF!</v>
      </c>
      <c r="G122" s="3"/>
    </row>
    <row r="123" spans="5:7" ht="15.75" customHeight="1">
      <c r="E123" s="109" t="s">
        <v>10</v>
      </c>
      <c r="F123" s="110" t="e">
        <f t="shared" si="0"/>
        <v>#REF!</v>
      </c>
      <c r="G123" s="3"/>
    </row>
    <row r="124" spans="5:7" ht="15.75" customHeight="1">
      <c r="E124" s="109" t="s">
        <v>6</v>
      </c>
      <c r="F124" s="110" t="e">
        <f>SUM(F120:F122)</f>
        <v>#REF!</v>
      </c>
      <c r="G124" s="3"/>
    </row>
    <row r="125" spans="5:7" ht="15.75" customHeight="1">
      <c r="E125" s="109" t="s">
        <v>39</v>
      </c>
      <c r="F125" s="110" t="e">
        <f>SUM(F120:F123)</f>
        <v>#REF!</v>
      </c>
      <c r="G125" s="3"/>
    </row>
    <row r="126" spans="5:7" ht="15.75" customHeight="1"/>
    <row r="127" spans="5:7" ht="15.75" customHeight="1">
      <c r="E127" s="231" t="s">
        <v>132</v>
      </c>
      <c r="F127" s="224"/>
      <c r="G127" s="108"/>
    </row>
    <row r="128" spans="5:7" ht="15.75" customHeight="1">
      <c r="E128" s="109" t="s">
        <v>7</v>
      </c>
      <c r="F128" s="110" t="e">
        <f t="shared" ref="F128:F131" si="1">COUNTIF(#REF!,E128)</f>
        <v>#REF!</v>
      </c>
      <c r="G128" s="3"/>
    </row>
    <row r="129" spans="5:7" ht="15.75" customHeight="1">
      <c r="E129" s="109" t="s">
        <v>8</v>
      </c>
      <c r="F129" s="110" t="e">
        <f t="shared" si="1"/>
        <v>#REF!</v>
      </c>
      <c r="G129" s="3"/>
    </row>
    <row r="130" spans="5:7" ht="15.75" customHeight="1">
      <c r="E130" s="109" t="s">
        <v>9</v>
      </c>
      <c r="F130" s="110" t="e">
        <f t="shared" si="1"/>
        <v>#REF!</v>
      </c>
      <c r="G130" s="3"/>
    </row>
    <row r="131" spans="5:7" ht="15.75" customHeight="1">
      <c r="E131" s="109" t="s">
        <v>10</v>
      </c>
      <c r="F131" s="110" t="e">
        <f t="shared" si="1"/>
        <v>#REF!</v>
      </c>
      <c r="G131" s="3"/>
    </row>
    <row r="132" spans="5:7" ht="15.75" customHeight="1">
      <c r="E132" s="109" t="s">
        <v>6</v>
      </c>
      <c r="F132" s="110" t="e">
        <f>SUM(F128:F130)</f>
        <v>#REF!</v>
      </c>
      <c r="G132" s="3"/>
    </row>
    <row r="133" spans="5:7" ht="15.75" customHeight="1">
      <c r="E133" s="109" t="s">
        <v>39</v>
      </c>
      <c r="F133" s="110" t="e">
        <f>SUM(F128:F131)</f>
        <v>#REF!</v>
      </c>
      <c r="G133" s="3"/>
    </row>
    <row r="134" spans="5:7" ht="15.75" customHeight="1"/>
    <row r="135" spans="5:7" ht="15.75" customHeight="1">
      <c r="E135" s="231" t="s">
        <v>133</v>
      </c>
      <c r="F135" s="224"/>
      <c r="G135" s="111"/>
    </row>
    <row r="136" spans="5:7" ht="15.75" customHeight="1">
      <c r="E136" s="109" t="s">
        <v>7</v>
      </c>
      <c r="F136" s="110" t="e">
        <f t="shared" ref="F136:F139" si="2">COUNTIF(#REF!,E136)</f>
        <v>#REF!</v>
      </c>
      <c r="G136" s="3"/>
    </row>
    <row r="137" spans="5:7" ht="15.75" customHeight="1">
      <c r="E137" s="109" t="s">
        <v>8</v>
      </c>
      <c r="F137" s="110" t="e">
        <f t="shared" si="2"/>
        <v>#REF!</v>
      </c>
      <c r="G137" s="3"/>
    </row>
    <row r="138" spans="5:7" ht="15.75" customHeight="1">
      <c r="E138" s="109" t="s">
        <v>9</v>
      </c>
      <c r="F138" s="110" t="e">
        <f t="shared" si="2"/>
        <v>#REF!</v>
      </c>
      <c r="G138" s="3"/>
    </row>
    <row r="139" spans="5:7" ht="15.75" customHeight="1">
      <c r="E139" s="109" t="s">
        <v>10</v>
      </c>
      <c r="F139" s="110" t="e">
        <f t="shared" si="2"/>
        <v>#REF!</v>
      </c>
      <c r="G139" s="3"/>
    </row>
    <row r="140" spans="5:7" ht="15.75" customHeight="1">
      <c r="E140" s="109" t="s">
        <v>6</v>
      </c>
      <c r="F140" s="110" t="e">
        <f>SUM(F136:F138)</f>
        <v>#REF!</v>
      </c>
      <c r="G140" s="3"/>
    </row>
    <row r="141" spans="5:7" ht="15.75" customHeight="1">
      <c r="E141" s="109" t="s">
        <v>39</v>
      </c>
      <c r="F141" s="110" t="e">
        <f>SUM(F136:F139)</f>
        <v>#REF!</v>
      </c>
      <c r="G141" s="3"/>
    </row>
    <row r="142" spans="5:7" ht="15.75" customHeight="1"/>
    <row r="143" spans="5:7" ht="15.75" customHeight="1">
      <c r="E143" s="231" t="s">
        <v>39</v>
      </c>
      <c r="F143" s="224"/>
      <c r="G143" s="108"/>
    </row>
    <row r="144" spans="5:7" ht="15.75" customHeight="1">
      <c r="E144" s="109" t="s">
        <v>7</v>
      </c>
      <c r="F144" s="110" t="e">
        <f t="shared" ref="F144:F149" si="3">SUM(F112,F120,F128,F136)</f>
        <v>#REF!</v>
      </c>
      <c r="G144" s="3"/>
    </row>
    <row r="145" spans="5:7" ht="15.75" customHeight="1">
      <c r="E145" s="109" t="s">
        <v>8</v>
      </c>
      <c r="F145" s="110" t="e">
        <f t="shared" si="3"/>
        <v>#REF!</v>
      </c>
      <c r="G145" s="3"/>
    </row>
    <row r="146" spans="5:7" ht="15.75" customHeight="1">
      <c r="E146" s="109" t="s">
        <v>9</v>
      </c>
      <c r="F146" s="110" t="e">
        <f t="shared" si="3"/>
        <v>#REF!</v>
      </c>
      <c r="G146" s="3"/>
    </row>
    <row r="147" spans="5:7" ht="15.75" customHeight="1">
      <c r="E147" s="109" t="s">
        <v>10</v>
      </c>
      <c r="F147" s="110" t="e">
        <f t="shared" si="3"/>
        <v>#REF!</v>
      </c>
      <c r="G147" s="3"/>
    </row>
    <row r="148" spans="5:7" ht="15.75" customHeight="1">
      <c r="E148" s="109" t="s">
        <v>6</v>
      </c>
      <c r="F148" s="110" t="e">
        <f t="shared" si="3"/>
        <v>#REF!</v>
      </c>
      <c r="G148" s="3"/>
    </row>
    <row r="149" spans="5:7" ht="15.75" customHeight="1">
      <c r="E149" s="109" t="s">
        <v>39</v>
      </c>
      <c r="F149" s="110" t="e">
        <f t="shared" si="3"/>
        <v>#REF!</v>
      </c>
      <c r="G149" s="3"/>
    </row>
    <row r="150" spans="5:7" ht="15.75" customHeight="1"/>
    <row r="151" spans="5:7" ht="15.75" customHeight="1"/>
    <row r="152" spans="5:7" ht="15.75" customHeight="1"/>
    <row r="153" spans="5:7" ht="15.75" customHeight="1"/>
    <row r="154" spans="5:7" ht="15.75" customHeight="1"/>
    <row r="155" spans="5:7" ht="15.75" customHeight="1"/>
    <row r="156" spans="5:7" ht="15.75" customHeight="1"/>
    <row r="157" spans="5:7" ht="15.75" customHeight="1"/>
    <row r="158" spans="5:7" ht="15.75" customHeight="1"/>
    <row r="159" spans="5:7" ht="15.75" customHeight="1"/>
    <row r="160" spans="5:7"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sheetData>
  <mergeCells count="13">
    <mergeCell ref="C11:C12"/>
    <mergeCell ref="C14:C17"/>
    <mergeCell ref="C18:C20"/>
    <mergeCell ref="C9:C10"/>
    <mergeCell ref="E111:F111"/>
    <mergeCell ref="E119:F119"/>
    <mergeCell ref="E127:F127"/>
    <mergeCell ref="E135:F135"/>
    <mergeCell ref="E143:F143"/>
    <mergeCell ref="J9:J10"/>
    <mergeCell ref="J11:J12"/>
    <mergeCell ref="J14:J17"/>
    <mergeCell ref="J18:J20"/>
  </mergeCells>
  <conditionalFormatting sqref="G4:G20 J4:J9 J11 J13:J14 J18 J21:J107">
    <cfRule type="containsText" dxfId="21" priority="1" operator="containsText" text="PASS">
      <formula>NOT(ISERROR(SEARCH(("PASS"),(G4))))</formula>
    </cfRule>
  </conditionalFormatting>
  <conditionalFormatting sqref="G4:G20 J4:J9 J11 J13:J14 J18 J21:J107">
    <cfRule type="containsText" dxfId="20" priority="2" operator="containsText" text="NT">
      <formula>NOT(ISERROR(SEARCH(("NT"),(G4))))</formula>
    </cfRule>
  </conditionalFormatting>
  <conditionalFormatting sqref="G4:G20 J4:J9 J11 J13:J14 J18 J21:J107">
    <cfRule type="containsText" dxfId="19" priority="3" operator="containsText" text="NA">
      <formula>NOT(ISERROR(SEARCH(("NA"),(G4))))</formula>
    </cfRule>
  </conditionalFormatting>
  <conditionalFormatting sqref="G4:G20 J4:J9 J11 J13:J14 J18 J21:J107">
    <cfRule type="containsText" dxfId="18" priority="4" operator="containsText" text="FAIL">
      <formula>NOT(ISERROR(SEARCH(("FAIL"),(G4))))</formula>
    </cfRule>
  </conditionalFormatting>
  <conditionalFormatting sqref="G1:G1034">
    <cfRule type="expression" dxfId="17" priority="5">
      <formula>"Completed"</formula>
    </cfRule>
  </conditionalFormatting>
  <conditionalFormatting sqref="G1:G1034">
    <cfRule type="expression" dxfId="16" priority="6">
      <formula>"Not Completed"</formula>
    </cfRule>
  </conditionalFormatting>
  <dataValidations count="3">
    <dataValidation type="list" allowBlank="1" showErrorMessage="1" sqref="N102:N107 O94:O101 N88:N93 O84:O87 N82:N83 O38:O49 O4">
      <formula1>"Nil,Ashick,Asif,MuthuKrishnan,Raashidahamed,Prasannanb,Sarankumar,Sasidharan,Senthil,Sivperumal,Sooriya,Ashwin,Varadharajan"</formula1>
    </dataValidation>
    <dataValidation type="list" allowBlank="1" showErrorMessage="1" sqref="G4:G20 J4:J9 J11 J13:J14 J18 J21:J107">
      <formula1>"PASS,FAIL,NA,NT,Completed,Not Completed"</formula1>
    </dataValidation>
    <dataValidation type="list" allowBlank="1" showErrorMessage="1" sqref="I4:I107">
      <formula1>"P1,P0"</formula1>
    </dataValidation>
  </dataValidations>
  <hyperlinks>
    <hyperlink ref="D1" location="null!D49" display="Page Consolidation"/>
    <hyperlink ref="K43" r:id="rId1"/>
    <hyperlink ref="K46" r:id="rId2"/>
  </hyperlinks>
  <pageMargins left="0.7" right="0.7" top="0.75" bottom="0.75" header="0" footer="0"/>
  <pageSetup orientation="landscape" r:id="rId3"/>
</worksheet>
</file>

<file path=xl/worksheets/sheet3.xml><?xml version="1.0" encoding="utf-8"?>
<worksheet xmlns="http://schemas.openxmlformats.org/spreadsheetml/2006/main" xmlns:r="http://schemas.openxmlformats.org/officeDocument/2006/relationships">
  <sheetPr>
    <outlinePr summaryBelow="0" summaryRight="0"/>
  </sheetPr>
  <dimension ref="A1:AA1000"/>
  <sheetViews>
    <sheetView workbookViewId="0"/>
  </sheetViews>
  <sheetFormatPr defaultColWidth="12.59765625" defaultRowHeight="15" customHeight="1"/>
  <cols>
    <col min="1" max="1" width="4.3984375" customWidth="1"/>
    <col min="2" max="2" width="17.5" customWidth="1"/>
    <col min="3" max="3" width="23.19921875" customWidth="1"/>
    <col min="4" max="4" width="14.8984375" customWidth="1"/>
    <col min="5" max="5" width="61.09765625" customWidth="1"/>
    <col min="6" max="6" width="67.8984375" customWidth="1"/>
    <col min="7" max="7" width="7.3984375" customWidth="1"/>
    <col min="8" max="10" width="9.5" customWidth="1"/>
    <col min="11" max="11" width="10.09765625" customWidth="1"/>
    <col min="12" max="12" width="8.5" customWidth="1"/>
    <col min="13" max="13" width="11" customWidth="1"/>
    <col min="14" max="14" width="10.5" customWidth="1"/>
    <col min="15" max="15" width="10.19921875" customWidth="1"/>
  </cols>
  <sheetData>
    <row r="1" spans="1:27" ht="14.4">
      <c r="A1" s="26" t="s">
        <v>134</v>
      </c>
      <c r="C1" s="26" t="s">
        <v>43</v>
      </c>
      <c r="D1" s="4"/>
    </row>
    <row r="2" spans="1:27" ht="27.6">
      <c r="A2" s="27"/>
      <c r="B2" s="28" t="s">
        <v>44</v>
      </c>
      <c r="C2" s="29" t="s">
        <v>45</v>
      </c>
      <c r="D2" s="28" t="s">
        <v>46</v>
      </c>
      <c r="E2" s="28" t="s">
        <v>47</v>
      </c>
      <c r="F2" s="28" t="s">
        <v>49</v>
      </c>
      <c r="G2" s="28" t="s">
        <v>50</v>
      </c>
      <c r="H2" s="28" t="s">
        <v>51</v>
      </c>
      <c r="I2" s="28" t="s">
        <v>135</v>
      </c>
      <c r="J2" s="28" t="s">
        <v>136</v>
      </c>
      <c r="K2" s="28" t="s">
        <v>52</v>
      </c>
      <c r="L2" s="28" t="s">
        <v>53</v>
      </c>
      <c r="M2" s="28" t="s">
        <v>54</v>
      </c>
      <c r="N2" s="28" t="s">
        <v>55</v>
      </c>
      <c r="O2" s="28" t="s">
        <v>56</v>
      </c>
    </row>
    <row r="3" spans="1:27" ht="103.5" customHeight="1">
      <c r="A3" s="112"/>
      <c r="B3" s="87" t="s">
        <v>137</v>
      </c>
      <c r="C3" s="113" t="s">
        <v>138</v>
      </c>
      <c r="D3" s="87" t="s">
        <v>139</v>
      </c>
      <c r="E3" s="114" t="s">
        <v>140</v>
      </c>
      <c r="F3" s="114" t="s">
        <v>141</v>
      </c>
      <c r="G3" s="87" t="s">
        <v>62</v>
      </c>
      <c r="H3" s="115" t="s">
        <v>10</v>
      </c>
      <c r="I3" s="115" t="s">
        <v>10</v>
      </c>
      <c r="J3" s="115" t="s">
        <v>10</v>
      </c>
      <c r="K3" s="103"/>
      <c r="L3" s="103"/>
      <c r="M3" s="103"/>
      <c r="N3" s="105"/>
      <c r="O3" s="112"/>
      <c r="P3" s="112"/>
      <c r="Q3" s="112"/>
      <c r="R3" s="112"/>
      <c r="S3" s="112"/>
      <c r="T3" s="112"/>
      <c r="U3" s="112"/>
      <c r="V3" s="112"/>
      <c r="W3" s="112"/>
      <c r="X3" s="112"/>
      <c r="Y3" s="112"/>
      <c r="Z3" s="112"/>
      <c r="AA3" s="112"/>
    </row>
    <row r="4" spans="1:27" ht="72.75" customHeight="1">
      <c r="A4" s="116"/>
      <c r="B4" s="87" t="s">
        <v>142</v>
      </c>
      <c r="C4" s="117" t="s">
        <v>138</v>
      </c>
      <c r="D4" s="87" t="s">
        <v>143</v>
      </c>
      <c r="E4" s="114" t="s">
        <v>144</v>
      </c>
      <c r="F4" s="114" t="s">
        <v>145</v>
      </c>
      <c r="G4" s="87" t="s">
        <v>146</v>
      </c>
      <c r="H4" s="115" t="s">
        <v>10</v>
      </c>
      <c r="I4" s="115" t="s">
        <v>10</v>
      </c>
      <c r="J4" s="115" t="s">
        <v>10</v>
      </c>
      <c r="K4" s="103"/>
      <c r="L4" s="103"/>
      <c r="M4" s="103"/>
      <c r="N4" s="105"/>
      <c r="O4" s="116"/>
      <c r="P4" s="116"/>
      <c r="Q4" s="116"/>
      <c r="R4" s="116"/>
      <c r="S4" s="116"/>
      <c r="T4" s="116"/>
      <c r="U4" s="116"/>
      <c r="V4" s="116"/>
      <c r="W4" s="116"/>
      <c r="X4" s="116"/>
      <c r="Y4" s="116"/>
      <c r="Z4" s="116"/>
      <c r="AA4" s="116"/>
    </row>
    <row r="5" spans="1:27" ht="60.75" customHeight="1">
      <c r="A5" s="116"/>
      <c r="B5" s="87" t="s">
        <v>147</v>
      </c>
      <c r="C5" s="117" t="s">
        <v>138</v>
      </c>
      <c r="D5" s="87" t="s">
        <v>148</v>
      </c>
      <c r="E5" s="105" t="s">
        <v>149</v>
      </c>
      <c r="F5" s="114" t="s">
        <v>150</v>
      </c>
      <c r="G5" s="87" t="s">
        <v>151</v>
      </c>
      <c r="H5" s="115" t="s">
        <v>10</v>
      </c>
      <c r="I5" s="115" t="s">
        <v>10</v>
      </c>
      <c r="J5" s="115" t="s">
        <v>10</v>
      </c>
      <c r="K5" s="103"/>
      <c r="L5" s="103"/>
      <c r="M5" s="103"/>
      <c r="N5" s="105"/>
      <c r="O5" s="116"/>
      <c r="P5" s="116"/>
      <c r="Q5" s="116"/>
      <c r="R5" s="116"/>
      <c r="S5" s="116"/>
      <c r="T5" s="116"/>
      <c r="U5" s="116"/>
      <c r="V5" s="116"/>
      <c r="W5" s="116"/>
      <c r="X5" s="116"/>
      <c r="Y5" s="116"/>
      <c r="Z5" s="116"/>
      <c r="AA5" s="116"/>
    </row>
    <row r="6" spans="1:27" ht="72">
      <c r="A6" s="118"/>
      <c r="B6" s="87" t="s">
        <v>152</v>
      </c>
      <c r="C6" s="117" t="s">
        <v>153</v>
      </c>
      <c r="D6" s="119" t="s">
        <v>154</v>
      </c>
      <c r="E6" s="120" t="s">
        <v>155</v>
      </c>
      <c r="F6" s="120" t="s">
        <v>156</v>
      </c>
      <c r="G6" s="87" t="s">
        <v>157</v>
      </c>
      <c r="H6" s="115" t="s">
        <v>10</v>
      </c>
      <c r="I6" s="115" t="s">
        <v>10</v>
      </c>
      <c r="J6" s="115" t="s">
        <v>10</v>
      </c>
      <c r="K6" s="13"/>
      <c r="L6" s="13"/>
      <c r="M6" s="13"/>
      <c r="N6" s="87"/>
      <c r="O6" s="118"/>
      <c r="P6" s="118"/>
      <c r="Q6" s="118"/>
      <c r="R6" s="118"/>
      <c r="S6" s="118"/>
      <c r="T6" s="118"/>
      <c r="U6" s="118"/>
      <c r="V6" s="118"/>
      <c r="W6" s="118"/>
      <c r="X6" s="118"/>
      <c r="Y6" s="118"/>
      <c r="Z6" s="118"/>
      <c r="AA6" s="118"/>
    </row>
    <row r="7" spans="1:27" ht="86.4">
      <c r="A7" s="121"/>
      <c r="B7" s="87" t="s">
        <v>158</v>
      </c>
      <c r="C7" s="117" t="s">
        <v>153</v>
      </c>
      <c r="D7" s="119" t="s">
        <v>159</v>
      </c>
      <c r="E7" s="114" t="s">
        <v>160</v>
      </c>
      <c r="F7" s="122" t="s">
        <v>161</v>
      </c>
      <c r="G7" s="87" t="s">
        <v>162</v>
      </c>
      <c r="H7" s="115" t="s">
        <v>10</v>
      </c>
      <c r="I7" s="115" t="s">
        <v>10</v>
      </c>
      <c r="J7" s="115" t="s">
        <v>10</v>
      </c>
      <c r="K7" s="97"/>
      <c r="L7" s="97"/>
      <c r="M7" s="97"/>
      <c r="N7" s="98"/>
      <c r="O7" s="121"/>
      <c r="P7" s="121"/>
      <c r="Q7" s="121"/>
      <c r="R7" s="121"/>
      <c r="S7" s="121"/>
      <c r="T7" s="121"/>
      <c r="U7" s="121"/>
      <c r="V7" s="121"/>
      <c r="W7" s="121"/>
      <c r="X7" s="121"/>
      <c r="Y7" s="121"/>
      <c r="Z7" s="121"/>
      <c r="AA7" s="121"/>
    </row>
    <row r="8" spans="1:27" ht="72">
      <c r="A8" s="121"/>
      <c r="B8" s="87" t="s">
        <v>163</v>
      </c>
      <c r="C8" s="117" t="s">
        <v>153</v>
      </c>
      <c r="D8" s="119" t="s">
        <v>164</v>
      </c>
      <c r="E8" s="114" t="s">
        <v>165</v>
      </c>
      <c r="F8" s="114" t="s">
        <v>166</v>
      </c>
      <c r="G8" s="87" t="s">
        <v>167</v>
      </c>
      <c r="H8" s="115" t="s">
        <v>10</v>
      </c>
      <c r="I8" s="115" t="s">
        <v>10</v>
      </c>
      <c r="J8" s="115" t="s">
        <v>10</v>
      </c>
      <c r="K8" s="97"/>
      <c r="L8" s="97"/>
      <c r="M8" s="97"/>
      <c r="N8" s="98"/>
      <c r="O8" s="121"/>
      <c r="P8" s="121"/>
      <c r="Q8" s="121"/>
      <c r="R8" s="121"/>
      <c r="S8" s="121"/>
      <c r="T8" s="121"/>
      <c r="U8" s="121"/>
      <c r="V8" s="121"/>
      <c r="W8" s="121"/>
      <c r="X8" s="121"/>
      <c r="Y8" s="121"/>
      <c r="Z8" s="121"/>
      <c r="AA8" s="121"/>
    </row>
    <row r="9" spans="1:27" ht="115.2">
      <c r="A9" s="121"/>
      <c r="B9" s="87" t="s">
        <v>168</v>
      </c>
      <c r="C9" s="117" t="s">
        <v>169</v>
      </c>
      <c r="D9" s="87" t="s">
        <v>170</v>
      </c>
      <c r="E9" s="122" t="s">
        <v>171</v>
      </c>
      <c r="F9" s="114" t="s">
        <v>172</v>
      </c>
      <c r="G9" s="87" t="s">
        <v>173</v>
      </c>
      <c r="H9" s="115" t="s">
        <v>10</v>
      </c>
      <c r="I9" s="115" t="s">
        <v>10</v>
      </c>
      <c r="J9" s="115" t="s">
        <v>10</v>
      </c>
      <c r="K9" s="97"/>
      <c r="L9" s="97"/>
      <c r="M9" s="97"/>
      <c r="N9" s="98"/>
      <c r="O9" s="121"/>
      <c r="P9" s="121"/>
      <c r="Q9" s="121"/>
      <c r="R9" s="121"/>
      <c r="S9" s="121"/>
      <c r="T9" s="121"/>
      <c r="U9" s="121"/>
      <c r="V9" s="121"/>
      <c r="W9" s="121"/>
      <c r="X9" s="121"/>
      <c r="Y9" s="121"/>
      <c r="Z9" s="121"/>
      <c r="AA9" s="121"/>
    </row>
    <row r="10" spans="1:27" ht="158.4">
      <c r="A10" s="121"/>
      <c r="B10" s="87" t="s">
        <v>174</v>
      </c>
      <c r="C10" s="117" t="s">
        <v>169</v>
      </c>
      <c r="D10" s="87" t="s">
        <v>175</v>
      </c>
      <c r="E10" s="114" t="s">
        <v>176</v>
      </c>
      <c r="F10" s="122" t="s">
        <v>177</v>
      </c>
      <c r="G10" s="87" t="s">
        <v>178</v>
      </c>
      <c r="H10" s="115" t="s">
        <v>10</v>
      </c>
      <c r="I10" s="115" t="s">
        <v>10</v>
      </c>
      <c r="J10" s="115" t="s">
        <v>10</v>
      </c>
      <c r="K10" s="97"/>
      <c r="L10" s="97"/>
      <c r="M10" s="97"/>
      <c r="N10" s="98"/>
      <c r="O10" s="121"/>
      <c r="P10" s="121"/>
      <c r="Q10" s="121"/>
      <c r="R10" s="121"/>
      <c r="S10" s="121"/>
      <c r="T10" s="121"/>
      <c r="U10" s="121"/>
      <c r="V10" s="121"/>
      <c r="W10" s="121"/>
      <c r="X10" s="121"/>
      <c r="Y10" s="121"/>
      <c r="Z10" s="121"/>
      <c r="AA10" s="121"/>
    </row>
    <row r="11" spans="1:27" ht="204.75" customHeight="1">
      <c r="A11" s="121"/>
      <c r="B11" s="87" t="s">
        <v>179</v>
      </c>
      <c r="C11" s="117" t="s">
        <v>169</v>
      </c>
      <c r="D11" s="87" t="s">
        <v>180</v>
      </c>
      <c r="E11" s="114" t="s">
        <v>181</v>
      </c>
      <c r="F11" s="122" t="s">
        <v>182</v>
      </c>
      <c r="G11" s="87" t="s">
        <v>183</v>
      </c>
      <c r="H11" s="115" t="s">
        <v>10</v>
      </c>
      <c r="I11" s="115" t="s">
        <v>10</v>
      </c>
      <c r="J11" s="115" t="s">
        <v>10</v>
      </c>
      <c r="K11" s="97"/>
      <c r="L11" s="97"/>
      <c r="M11" s="97"/>
      <c r="N11" s="98"/>
      <c r="O11" s="121"/>
      <c r="P11" s="121"/>
      <c r="Q11" s="121"/>
      <c r="R11" s="121"/>
      <c r="S11" s="121"/>
      <c r="T11" s="121"/>
      <c r="U11" s="121"/>
      <c r="V11" s="121"/>
      <c r="W11" s="121"/>
      <c r="X11" s="121"/>
      <c r="Y11" s="121"/>
      <c r="Z11" s="121"/>
      <c r="AA11" s="121"/>
    </row>
    <row r="12" spans="1:27" ht="53.25" customHeight="1">
      <c r="G12" s="123"/>
      <c r="H12" s="123"/>
      <c r="I12" s="123"/>
      <c r="J12" s="123"/>
      <c r="N12" s="123"/>
    </row>
    <row r="13" spans="1:27" ht="13.8">
      <c r="E13" s="231" t="s">
        <v>130</v>
      </c>
      <c r="F13" s="224"/>
    </row>
    <row r="14" spans="1:27" ht="14.4">
      <c r="E14" s="109" t="s">
        <v>7</v>
      </c>
      <c r="F14" s="110">
        <f>COUNTIF(H3:H11,E14)</f>
        <v>0</v>
      </c>
    </row>
    <row r="15" spans="1:27" ht="14.4">
      <c r="E15" s="109" t="s">
        <v>8</v>
      </c>
      <c r="F15" s="110">
        <f>COUNTIF(H3:H11,E15)</f>
        <v>0</v>
      </c>
    </row>
    <row r="16" spans="1:27" ht="14.4">
      <c r="E16" s="109" t="s">
        <v>9</v>
      </c>
      <c r="F16" s="110">
        <f>COUNTIF(H3:H11,E16)</f>
        <v>0</v>
      </c>
    </row>
    <row r="17" spans="5:6" ht="14.4">
      <c r="E17" s="109" t="s">
        <v>10</v>
      </c>
      <c r="F17" s="110">
        <f>COUNTIF(H3:H11,E17)</f>
        <v>9</v>
      </c>
    </row>
    <row r="18" spans="5:6" ht="14.4">
      <c r="E18" s="109" t="s">
        <v>6</v>
      </c>
      <c r="F18" s="110">
        <f>SUM(F14:F16)</f>
        <v>0</v>
      </c>
    </row>
    <row r="19" spans="5:6" ht="14.4">
      <c r="E19" s="109" t="s">
        <v>39</v>
      </c>
      <c r="F19" s="110">
        <f>SUM(F14:F17)</f>
        <v>9</v>
      </c>
    </row>
    <row r="21" spans="5:6" ht="15.75" customHeight="1">
      <c r="E21" s="231" t="s">
        <v>131</v>
      </c>
      <c r="F21" s="224"/>
    </row>
    <row r="22" spans="5:6" ht="15.75" customHeight="1">
      <c r="E22" s="109" t="s">
        <v>7</v>
      </c>
      <c r="F22" s="110">
        <f>COUNTIF(I3:I11,E22)</f>
        <v>0</v>
      </c>
    </row>
    <row r="23" spans="5:6" ht="15.75" customHeight="1">
      <c r="E23" s="109" t="s">
        <v>8</v>
      </c>
      <c r="F23" s="110">
        <f>COUNTIF(I3:I11,E23)</f>
        <v>0</v>
      </c>
    </row>
    <row r="24" spans="5:6" ht="15.75" customHeight="1">
      <c r="E24" s="109" t="s">
        <v>9</v>
      </c>
      <c r="F24" s="110">
        <f>COUNTIF(H3:H11,E24)</f>
        <v>0</v>
      </c>
    </row>
    <row r="25" spans="5:6" ht="15.75" customHeight="1">
      <c r="E25" s="109" t="s">
        <v>10</v>
      </c>
      <c r="F25" s="110">
        <f>COUNTIF(I3:I11,E25)</f>
        <v>9</v>
      </c>
    </row>
    <row r="26" spans="5:6" ht="15.75" customHeight="1">
      <c r="E26" s="109" t="s">
        <v>6</v>
      </c>
      <c r="F26" s="110">
        <f>SUM(F22:F24)</f>
        <v>0</v>
      </c>
    </row>
    <row r="27" spans="5:6" ht="15.75" customHeight="1">
      <c r="E27" s="109" t="s">
        <v>39</v>
      </c>
      <c r="F27" s="110">
        <f>SUM(F22:F25)</f>
        <v>9</v>
      </c>
    </row>
    <row r="28" spans="5:6" ht="15.75" customHeight="1"/>
    <row r="29" spans="5:6" ht="15.75" customHeight="1">
      <c r="E29" s="231" t="s">
        <v>132</v>
      </c>
      <c r="F29" s="224"/>
    </row>
    <row r="30" spans="5:6" ht="15.75" customHeight="1">
      <c r="E30" s="109" t="s">
        <v>7</v>
      </c>
      <c r="F30" s="110">
        <f>COUNTIF(J3:J11,E30)</f>
        <v>0</v>
      </c>
    </row>
    <row r="31" spans="5:6" ht="15.75" customHeight="1">
      <c r="E31" s="109" t="s">
        <v>8</v>
      </c>
      <c r="F31" s="110">
        <f>COUNTIF(J3:J11,E31)</f>
        <v>0</v>
      </c>
    </row>
    <row r="32" spans="5:6" ht="15.75" customHeight="1">
      <c r="E32" s="109" t="s">
        <v>9</v>
      </c>
      <c r="F32" s="110">
        <f>COUNTIF(J3:J11,E32)</f>
        <v>0</v>
      </c>
    </row>
    <row r="33" spans="5:6" ht="15.75" customHeight="1">
      <c r="E33" s="109" t="s">
        <v>10</v>
      </c>
      <c r="F33" s="110">
        <f>COUNTIF(J3:J11,E33)</f>
        <v>9</v>
      </c>
    </row>
    <row r="34" spans="5:6" ht="15.75" customHeight="1">
      <c r="E34" s="109" t="s">
        <v>6</v>
      </c>
      <c r="F34" s="110">
        <f>SUM(F30:F32)</f>
        <v>0</v>
      </c>
    </row>
    <row r="35" spans="5:6" ht="15.75" customHeight="1">
      <c r="E35" s="109" t="s">
        <v>39</v>
      </c>
      <c r="F35" s="110">
        <f>SUM(F30:F33)</f>
        <v>9</v>
      </c>
    </row>
    <row r="36" spans="5:6" ht="15.75" customHeight="1"/>
    <row r="37" spans="5:6" ht="15.75" customHeight="1">
      <c r="E37" s="231" t="s">
        <v>33</v>
      </c>
      <c r="F37" s="224"/>
    </row>
    <row r="38" spans="5:6" ht="15.75" customHeight="1">
      <c r="E38" s="109" t="s">
        <v>7</v>
      </c>
      <c r="F38" s="110">
        <f t="shared" ref="F38:F43" si="0">SUM(F14,F22,F30)</f>
        <v>0</v>
      </c>
    </row>
    <row r="39" spans="5:6" ht="15.75" customHeight="1">
      <c r="E39" s="109" t="s">
        <v>8</v>
      </c>
      <c r="F39" s="110">
        <f t="shared" si="0"/>
        <v>0</v>
      </c>
    </row>
    <row r="40" spans="5:6" ht="15.75" customHeight="1">
      <c r="E40" s="109" t="s">
        <v>9</v>
      </c>
      <c r="F40" s="110">
        <f t="shared" si="0"/>
        <v>0</v>
      </c>
    </row>
    <row r="41" spans="5:6" ht="15.75" customHeight="1">
      <c r="E41" s="109" t="s">
        <v>10</v>
      </c>
      <c r="F41" s="110">
        <f t="shared" si="0"/>
        <v>27</v>
      </c>
    </row>
    <row r="42" spans="5:6" ht="15.75" customHeight="1">
      <c r="E42" s="109" t="s">
        <v>6</v>
      </c>
      <c r="F42" s="110">
        <f t="shared" si="0"/>
        <v>0</v>
      </c>
    </row>
    <row r="43" spans="5:6" ht="15.75" customHeight="1">
      <c r="E43" s="109" t="s">
        <v>39</v>
      </c>
      <c r="F43" s="110">
        <f t="shared" si="0"/>
        <v>27</v>
      </c>
    </row>
    <row r="44" spans="5:6" ht="15.75" customHeight="1"/>
    <row r="45" spans="5:6" ht="15.75" customHeight="1"/>
    <row r="46" spans="5:6" ht="15.75" customHeight="1"/>
    <row r="47" spans="5:6" ht="15.75" customHeight="1"/>
    <row r="48" spans="5: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13:F13"/>
    <mergeCell ref="E21:F21"/>
    <mergeCell ref="E29:F29"/>
    <mergeCell ref="E37:F37"/>
  </mergeCells>
  <conditionalFormatting sqref="H3:J11">
    <cfRule type="containsText" dxfId="15" priority="1" operator="containsText" text="PASS">
      <formula>NOT(ISERROR(SEARCH(("PASS"),(H3))))</formula>
    </cfRule>
  </conditionalFormatting>
  <conditionalFormatting sqref="H3:J11">
    <cfRule type="containsText" dxfId="14" priority="2" operator="containsText" text="NT">
      <formula>NOT(ISERROR(SEARCH(("NT"),(H3))))</formula>
    </cfRule>
  </conditionalFormatting>
  <conditionalFormatting sqref="H3:J11">
    <cfRule type="containsText" dxfId="13" priority="3" operator="containsText" text="NA">
      <formula>NOT(ISERROR(SEARCH(("NA"),(H3))))</formula>
    </cfRule>
  </conditionalFormatting>
  <conditionalFormatting sqref="H3:J11">
    <cfRule type="containsText" dxfId="12" priority="4" operator="containsText" text="FAIL">
      <formula>NOT(ISERROR(SEARCH(("FAIL"),(H3))))</formula>
    </cfRule>
  </conditionalFormatting>
  <dataValidations count="3">
    <dataValidation type="list" allowBlank="1" showErrorMessage="1" sqref="N3:N11">
      <formula1>"Nil,Ashick,Asif,MuthuKrishnan,Raashidahamed,Prasannanb,Sarankumar,Sasidharan,Senthil,Sivperumal,Sooriya,Ashwin,Varadharajan"</formula1>
    </dataValidation>
    <dataValidation type="list" allowBlank="1" showErrorMessage="1" sqref="H3:J11">
      <formula1>"PASS,FAIL,NA,NT"</formula1>
    </dataValidation>
    <dataValidation type="list" allowBlank="1" showErrorMessage="1" sqref="G3:G11">
      <formula1>"P1,P0"</formula1>
    </dataValidation>
  </dataValidations>
  <hyperlinks>
    <hyperlink ref="A1" location="SUMMARY!A1" display="Summary!A1"/>
    <hyperlink ref="C1" location="null!D49" display="Page Consolidation"/>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sheetPr>
    <outlinePr summaryBelow="0" summaryRight="0"/>
  </sheetPr>
  <dimension ref="A1:AB921"/>
  <sheetViews>
    <sheetView workbookViewId="0">
      <pane ySplit="3" topLeftCell="A4" activePane="bottomLeft" state="frozen"/>
      <selection pane="bottomLeft" activeCell="B5" sqref="B5"/>
    </sheetView>
  </sheetViews>
  <sheetFormatPr defaultColWidth="12.59765625" defaultRowHeight="15" customHeight="1"/>
  <cols>
    <col min="1" max="1" width="5.69921875" customWidth="1"/>
    <col min="2" max="2" width="19.3984375" customWidth="1"/>
    <col min="3" max="3" width="17.8984375" customWidth="1"/>
    <col min="4" max="4" width="22.59765625" customWidth="1"/>
    <col min="5" max="5" width="59.8984375" customWidth="1"/>
    <col min="6" max="6" width="62.59765625" customWidth="1"/>
    <col min="7" max="7" width="9.19921875" customWidth="1"/>
    <col min="8" max="8" width="6.69921875" customWidth="1"/>
    <col min="9" max="10" width="6" customWidth="1"/>
    <col min="11" max="11" width="15.3984375" customWidth="1"/>
    <col min="12" max="12" width="6.09765625" customWidth="1"/>
    <col min="13" max="13" width="9.69921875" customWidth="1"/>
    <col min="14" max="14" width="11.8984375" customWidth="1"/>
    <col min="15" max="15" width="14.69921875" customWidth="1"/>
    <col min="16" max="16" width="20.8984375" customWidth="1"/>
  </cols>
  <sheetData>
    <row r="1" spans="1:28" ht="14.4">
      <c r="A1" s="124"/>
      <c r="B1" s="125"/>
      <c r="C1" s="124"/>
      <c r="D1" s="4"/>
      <c r="E1" s="125"/>
      <c r="F1" s="125"/>
      <c r="G1" s="125"/>
      <c r="H1" s="125"/>
      <c r="I1" s="125"/>
      <c r="J1" s="125"/>
      <c r="K1" s="125"/>
      <c r="L1" s="125"/>
      <c r="M1" s="125"/>
      <c r="N1" s="125"/>
      <c r="O1" s="125"/>
      <c r="P1" s="4"/>
      <c r="Q1" s="125"/>
      <c r="R1" s="125"/>
      <c r="S1" s="125"/>
      <c r="T1" s="125"/>
      <c r="U1" s="125"/>
      <c r="V1" s="125"/>
      <c r="W1" s="125"/>
      <c r="X1" s="125"/>
      <c r="Y1" s="125"/>
      <c r="Z1" s="125"/>
      <c r="AA1" s="125"/>
      <c r="AB1" s="125"/>
    </row>
    <row r="2" spans="1:28" ht="28.8">
      <c r="A2" s="126" t="s">
        <v>134</v>
      </c>
      <c r="B2" s="125"/>
      <c r="C2" s="127" t="s">
        <v>43</v>
      </c>
      <c r="D2" s="4"/>
      <c r="E2" s="125"/>
      <c r="F2" s="125"/>
      <c r="G2" s="125"/>
      <c r="H2" s="125"/>
      <c r="I2" s="125"/>
      <c r="J2" s="125"/>
      <c r="K2" s="125"/>
      <c r="L2" s="125"/>
      <c r="M2" s="125"/>
      <c r="N2" s="125"/>
      <c r="O2" s="125"/>
      <c r="P2" s="4"/>
      <c r="Q2" s="125"/>
      <c r="R2" s="125"/>
      <c r="S2" s="125"/>
      <c r="T2" s="125"/>
      <c r="U2" s="125"/>
      <c r="V2" s="125"/>
      <c r="W2" s="125"/>
      <c r="X2" s="125"/>
      <c r="Y2" s="125"/>
      <c r="Z2" s="125"/>
      <c r="AA2" s="125"/>
      <c r="AB2" s="125"/>
    </row>
    <row r="3" spans="1:28" ht="27.6">
      <c r="A3" s="128"/>
      <c r="B3" s="28" t="s">
        <v>44</v>
      </c>
      <c r="C3" s="28" t="s">
        <v>45</v>
      </c>
      <c r="D3" s="28" t="s">
        <v>46</v>
      </c>
      <c r="E3" s="28" t="s">
        <v>47</v>
      </c>
      <c r="F3" s="28" t="s">
        <v>49</v>
      </c>
      <c r="G3" s="28" t="s">
        <v>50</v>
      </c>
      <c r="H3" s="28" t="s">
        <v>51</v>
      </c>
      <c r="I3" s="28" t="s">
        <v>135</v>
      </c>
      <c r="J3" s="28" t="s">
        <v>136</v>
      </c>
      <c r="K3" s="28" t="s">
        <v>52</v>
      </c>
      <c r="L3" s="28" t="s">
        <v>53</v>
      </c>
      <c r="M3" s="28" t="s">
        <v>54</v>
      </c>
      <c r="N3" s="28" t="s">
        <v>55</v>
      </c>
      <c r="O3" s="28" t="s">
        <v>56</v>
      </c>
      <c r="P3" s="129"/>
      <c r="Q3" s="128"/>
      <c r="R3" s="128"/>
      <c r="S3" s="128"/>
      <c r="T3" s="128"/>
      <c r="U3" s="128"/>
      <c r="V3" s="128"/>
      <c r="W3" s="128"/>
      <c r="X3" s="128"/>
      <c r="Y3" s="128"/>
      <c r="Z3" s="128"/>
      <c r="AA3" s="128"/>
      <c r="AB3" s="128"/>
    </row>
    <row r="4" spans="1:28" ht="15.75" customHeight="1">
      <c r="B4" s="68" t="s">
        <v>184</v>
      </c>
      <c r="C4" s="130" t="s">
        <v>185</v>
      </c>
      <c r="D4" s="63" t="s">
        <v>186</v>
      </c>
      <c r="E4" s="131" t="s">
        <v>187</v>
      </c>
      <c r="F4" s="57" t="s">
        <v>188</v>
      </c>
      <c r="G4" s="58"/>
      <c r="H4" s="115" t="s">
        <v>10</v>
      </c>
      <c r="I4" s="115" t="s">
        <v>10</v>
      </c>
      <c r="J4" s="115" t="s">
        <v>10</v>
      </c>
      <c r="K4" s="39"/>
      <c r="L4" s="39"/>
      <c r="M4" s="39"/>
      <c r="N4" s="39"/>
      <c r="O4" s="40"/>
      <c r="P4" s="4"/>
    </row>
    <row r="5" spans="1:28" ht="15.75" customHeight="1">
      <c r="B5" s="68" t="s">
        <v>189</v>
      </c>
      <c r="C5" s="130" t="s">
        <v>185</v>
      </c>
      <c r="D5" s="63" t="s">
        <v>190</v>
      </c>
      <c r="E5" s="57" t="s">
        <v>191</v>
      </c>
      <c r="F5" s="57" t="s">
        <v>192</v>
      </c>
      <c r="G5" s="58"/>
      <c r="H5" s="115" t="s">
        <v>10</v>
      </c>
      <c r="I5" s="115" t="s">
        <v>10</v>
      </c>
      <c r="J5" s="115" t="s">
        <v>10</v>
      </c>
      <c r="K5" s="39"/>
      <c r="L5" s="39"/>
      <c r="M5" s="39"/>
      <c r="N5" s="39"/>
      <c r="O5" s="40"/>
      <c r="P5" s="4"/>
    </row>
    <row r="6" spans="1:28" ht="15.75" customHeight="1">
      <c r="B6" s="68" t="s">
        <v>193</v>
      </c>
      <c r="C6" s="130" t="s">
        <v>185</v>
      </c>
      <c r="D6" s="89" t="s">
        <v>194</v>
      </c>
      <c r="E6" s="57" t="s">
        <v>195</v>
      </c>
      <c r="F6" s="57" t="s">
        <v>196</v>
      </c>
      <c r="G6" s="58"/>
      <c r="H6" s="115" t="s">
        <v>10</v>
      </c>
      <c r="I6" s="115" t="s">
        <v>10</v>
      </c>
      <c r="J6" s="115" t="s">
        <v>10</v>
      </c>
      <c r="K6" s="39"/>
      <c r="L6" s="39"/>
      <c r="M6" s="39"/>
      <c r="N6" s="39"/>
      <c r="O6" s="40"/>
      <c r="P6" s="4"/>
    </row>
    <row r="7" spans="1:28" ht="15.75" customHeight="1">
      <c r="B7" s="68" t="s">
        <v>197</v>
      </c>
      <c r="C7" s="130" t="s">
        <v>185</v>
      </c>
      <c r="D7" s="89" t="s">
        <v>198</v>
      </c>
      <c r="E7" s="57" t="s">
        <v>199</v>
      </c>
      <c r="F7" s="57" t="s">
        <v>200</v>
      </c>
      <c r="G7" s="58"/>
      <c r="H7" s="115" t="s">
        <v>10</v>
      </c>
      <c r="I7" s="115" t="s">
        <v>10</v>
      </c>
      <c r="J7" s="115" t="s">
        <v>10</v>
      </c>
      <c r="K7" s="39"/>
      <c r="L7" s="39"/>
      <c r="M7" s="39"/>
      <c r="N7" s="39"/>
      <c r="O7" s="40"/>
      <c r="P7" s="4"/>
    </row>
    <row r="8" spans="1:28" ht="15.75" customHeight="1">
      <c r="B8" s="68" t="s">
        <v>201</v>
      </c>
      <c r="C8" s="130" t="s">
        <v>185</v>
      </c>
      <c r="D8" s="89" t="s">
        <v>202</v>
      </c>
      <c r="E8" s="57" t="s">
        <v>203</v>
      </c>
      <c r="F8" s="57" t="s">
        <v>204</v>
      </c>
      <c r="G8" s="58"/>
      <c r="H8" s="115" t="s">
        <v>10</v>
      </c>
      <c r="I8" s="115" t="s">
        <v>10</v>
      </c>
      <c r="J8" s="115" t="s">
        <v>10</v>
      </c>
      <c r="K8" s="39"/>
      <c r="L8" s="39"/>
      <c r="M8" s="39"/>
      <c r="N8" s="39"/>
      <c r="O8" s="40"/>
      <c r="P8" s="4"/>
    </row>
    <row r="9" spans="1:28" ht="15.75" customHeight="1">
      <c r="B9" s="68" t="s">
        <v>205</v>
      </c>
      <c r="C9" s="130" t="s">
        <v>185</v>
      </c>
      <c r="D9" s="89" t="s">
        <v>206</v>
      </c>
      <c r="E9" s="57" t="s">
        <v>207</v>
      </c>
      <c r="F9" s="57" t="s">
        <v>208</v>
      </c>
      <c r="G9" s="58"/>
      <c r="H9" s="115" t="s">
        <v>10</v>
      </c>
      <c r="I9" s="115" t="s">
        <v>10</v>
      </c>
      <c r="J9" s="115" t="s">
        <v>10</v>
      </c>
      <c r="K9" s="39"/>
      <c r="L9" s="39"/>
      <c r="M9" s="39"/>
      <c r="N9" s="39"/>
      <c r="O9" s="40"/>
      <c r="P9" s="4"/>
    </row>
    <row r="10" spans="1:28" ht="15.75" customHeight="1">
      <c r="B10" s="68" t="s">
        <v>209</v>
      </c>
      <c r="C10" s="130" t="s">
        <v>185</v>
      </c>
      <c r="D10" s="89" t="s">
        <v>210</v>
      </c>
      <c r="E10" s="57" t="s">
        <v>211</v>
      </c>
      <c r="F10" s="57" t="s">
        <v>212</v>
      </c>
      <c r="G10" s="58"/>
      <c r="H10" s="115" t="s">
        <v>10</v>
      </c>
      <c r="I10" s="115" t="s">
        <v>10</v>
      </c>
      <c r="J10" s="115" t="s">
        <v>10</v>
      </c>
      <c r="K10" s="39"/>
      <c r="L10" s="39"/>
      <c r="M10" s="39"/>
      <c r="N10" s="39"/>
      <c r="O10" s="40"/>
      <c r="P10" s="4"/>
    </row>
    <row r="11" spans="1:28" ht="15.75" customHeight="1">
      <c r="B11" s="68" t="s">
        <v>213</v>
      </c>
      <c r="C11" s="130"/>
      <c r="D11" s="89" t="s">
        <v>214</v>
      </c>
      <c r="E11" s="57" t="s">
        <v>215</v>
      </c>
      <c r="F11" s="57" t="s">
        <v>216</v>
      </c>
      <c r="G11" s="58"/>
      <c r="H11" s="115" t="s">
        <v>10</v>
      </c>
      <c r="I11" s="115" t="s">
        <v>10</v>
      </c>
      <c r="J11" s="115" t="s">
        <v>10</v>
      </c>
      <c r="K11" s="39"/>
      <c r="L11" s="39"/>
      <c r="M11" s="39"/>
      <c r="N11" s="39"/>
      <c r="O11" s="40"/>
      <c r="P11" s="4"/>
    </row>
    <row r="12" spans="1:28" ht="15.75" customHeight="1">
      <c r="B12" s="68" t="s">
        <v>217</v>
      </c>
      <c r="C12" s="130" t="s">
        <v>185</v>
      </c>
      <c r="D12" s="89" t="s">
        <v>218</v>
      </c>
      <c r="E12" s="57" t="s">
        <v>219</v>
      </c>
      <c r="F12" s="57" t="s">
        <v>220</v>
      </c>
      <c r="G12" s="58"/>
      <c r="H12" s="115" t="s">
        <v>10</v>
      </c>
      <c r="I12" s="115" t="s">
        <v>10</v>
      </c>
      <c r="J12" s="115" t="s">
        <v>10</v>
      </c>
      <c r="K12" s="39"/>
      <c r="L12" s="39"/>
      <c r="M12" s="39"/>
      <c r="N12" s="39"/>
      <c r="O12" s="40"/>
      <c r="P12" s="4"/>
    </row>
    <row r="13" spans="1:28" ht="15.75" customHeight="1">
      <c r="B13" s="68" t="s">
        <v>221</v>
      </c>
      <c r="C13" s="130" t="s">
        <v>185</v>
      </c>
      <c r="D13" s="89" t="s">
        <v>222</v>
      </c>
      <c r="E13" s="57" t="s">
        <v>223</v>
      </c>
      <c r="F13" s="57" t="s">
        <v>224</v>
      </c>
      <c r="G13" s="58"/>
      <c r="H13" s="115" t="s">
        <v>10</v>
      </c>
      <c r="I13" s="115" t="s">
        <v>10</v>
      </c>
      <c r="J13" s="115" t="s">
        <v>10</v>
      </c>
      <c r="K13" s="39"/>
      <c r="L13" s="39"/>
      <c r="M13" s="39"/>
      <c r="N13" s="39"/>
      <c r="O13" s="40"/>
      <c r="P13" s="4"/>
    </row>
    <row r="14" spans="1:28" ht="15.75" customHeight="1">
      <c r="B14" s="68" t="s">
        <v>225</v>
      </c>
      <c r="C14" s="130" t="s">
        <v>185</v>
      </c>
      <c r="D14" s="89" t="s">
        <v>226</v>
      </c>
      <c r="E14" s="57" t="s">
        <v>227</v>
      </c>
      <c r="F14" s="57" t="s">
        <v>228</v>
      </c>
      <c r="G14" s="58"/>
      <c r="H14" s="115" t="s">
        <v>10</v>
      </c>
      <c r="I14" s="115" t="s">
        <v>10</v>
      </c>
      <c r="J14" s="115" t="s">
        <v>10</v>
      </c>
      <c r="K14" s="39"/>
      <c r="L14" s="39"/>
      <c r="M14" s="39"/>
      <c r="N14" s="39"/>
      <c r="O14" s="40"/>
      <c r="P14" s="4"/>
    </row>
    <row r="15" spans="1:28" ht="15.75" customHeight="1">
      <c r="B15" s="68" t="s">
        <v>229</v>
      </c>
      <c r="C15" s="130" t="s">
        <v>185</v>
      </c>
      <c r="D15" s="89" t="s">
        <v>230</v>
      </c>
      <c r="E15" s="57" t="s">
        <v>231</v>
      </c>
      <c r="F15" s="57" t="s">
        <v>232</v>
      </c>
      <c r="G15" s="58"/>
      <c r="H15" s="115" t="s">
        <v>10</v>
      </c>
      <c r="I15" s="115" t="s">
        <v>10</v>
      </c>
      <c r="J15" s="115" t="s">
        <v>10</v>
      </c>
      <c r="K15" s="39"/>
      <c r="L15" s="39"/>
      <c r="M15" s="39"/>
      <c r="N15" s="39"/>
      <c r="O15" s="40"/>
      <c r="P15" s="4"/>
    </row>
    <row r="16" spans="1:28" ht="15.75" customHeight="1">
      <c r="B16" s="68" t="s">
        <v>233</v>
      </c>
      <c r="C16" s="130" t="s">
        <v>185</v>
      </c>
      <c r="D16" s="89" t="s">
        <v>234</v>
      </c>
      <c r="E16" s="57" t="s">
        <v>235</v>
      </c>
      <c r="F16" s="57" t="s">
        <v>236</v>
      </c>
      <c r="G16" s="58"/>
      <c r="H16" s="115" t="s">
        <v>10</v>
      </c>
      <c r="I16" s="115" t="s">
        <v>10</v>
      </c>
      <c r="J16" s="115" t="s">
        <v>10</v>
      </c>
      <c r="K16" s="39"/>
      <c r="L16" s="39"/>
      <c r="M16" s="39"/>
      <c r="N16" s="39"/>
      <c r="O16" s="40"/>
      <c r="P16" s="4"/>
    </row>
    <row r="17" spans="2:16" ht="15.75" customHeight="1">
      <c r="B17" s="68" t="s">
        <v>237</v>
      </c>
      <c r="C17" s="130" t="s">
        <v>185</v>
      </c>
      <c r="D17" s="89" t="s">
        <v>238</v>
      </c>
      <c r="E17" s="57" t="s">
        <v>239</v>
      </c>
      <c r="F17" s="57" t="s">
        <v>240</v>
      </c>
      <c r="G17" s="58"/>
      <c r="H17" s="115" t="s">
        <v>10</v>
      </c>
      <c r="I17" s="115" t="s">
        <v>10</v>
      </c>
      <c r="J17" s="115" t="s">
        <v>10</v>
      </c>
      <c r="K17" s="39"/>
      <c r="L17" s="39"/>
      <c r="M17" s="39"/>
      <c r="N17" s="39"/>
      <c r="O17" s="40"/>
      <c r="P17" s="4"/>
    </row>
    <row r="18" spans="2:16" ht="15.75" customHeight="1">
      <c r="B18" s="68" t="s">
        <v>241</v>
      </c>
      <c r="C18" s="130" t="s">
        <v>185</v>
      </c>
      <c r="D18" s="89" t="s">
        <v>242</v>
      </c>
      <c r="E18" s="57" t="s">
        <v>243</v>
      </c>
      <c r="F18" s="57" t="s">
        <v>244</v>
      </c>
      <c r="G18" s="58"/>
      <c r="H18" s="115" t="s">
        <v>10</v>
      </c>
      <c r="I18" s="115" t="s">
        <v>10</v>
      </c>
      <c r="J18" s="115" t="s">
        <v>10</v>
      </c>
      <c r="K18" s="39"/>
      <c r="L18" s="39"/>
      <c r="M18" s="39"/>
      <c r="N18" s="39"/>
      <c r="O18" s="40"/>
      <c r="P18" s="4"/>
    </row>
    <row r="19" spans="2:16" ht="15.75" customHeight="1">
      <c r="B19" s="68" t="s">
        <v>245</v>
      </c>
      <c r="C19" s="130" t="s">
        <v>185</v>
      </c>
      <c r="D19" s="89" t="s">
        <v>246</v>
      </c>
      <c r="E19" s="57" t="s">
        <v>247</v>
      </c>
      <c r="F19" s="57" t="s">
        <v>248</v>
      </c>
      <c r="G19" s="58"/>
      <c r="H19" s="115" t="s">
        <v>10</v>
      </c>
      <c r="I19" s="115" t="s">
        <v>10</v>
      </c>
      <c r="J19" s="115" t="s">
        <v>10</v>
      </c>
      <c r="K19" s="39"/>
      <c r="L19" s="39"/>
      <c r="M19" s="39"/>
      <c r="N19" s="39"/>
      <c r="O19" s="40"/>
      <c r="P19" s="4"/>
    </row>
    <row r="20" spans="2:16" ht="15.75" customHeight="1">
      <c r="B20" s="68" t="s">
        <v>249</v>
      </c>
      <c r="C20" s="130" t="s">
        <v>185</v>
      </c>
      <c r="D20" s="89" t="s">
        <v>250</v>
      </c>
      <c r="E20" s="57" t="s">
        <v>251</v>
      </c>
      <c r="F20" s="57" t="s">
        <v>252</v>
      </c>
      <c r="G20" s="58"/>
      <c r="H20" s="115" t="s">
        <v>10</v>
      </c>
      <c r="I20" s="115" t="s">
        <v>10</v>
      </c>
      <c r="J20" s="115" t="s">
        <v>10</v>
      </c>
      <c r="K20" s="39"/>
      <c r="L20" s="39"/>
      <c r="M20" s="39"/>
      <c r="N20" s="39"/>
      <c r="O20" s="40"/>
      <c r="P20" s="4"/>
    </row>
    <row r="21" spans="2:16" ht="15.75" customHeight="1">
      <c r="B21" s="68" t="s">
        <v>253</v>
      </c>
      <c r="C21" s="130" t="s">
        <v>185</v>
      </c>
      <c r="D21" s="89" t="s">
        <v>254</v>
      </c>
      <c r="E21" s="57" t="s">
        <v>255</v>
      </c>
      <c r="F21" s="57" t="s">
        <v>256</v>
      </c>
      <c r="G21" s="58"/>
      <c r="H21" s="115" t="s">
        <v>10</v>
      </c>
      <c r="I21" s="115" t="s">
        <v>10</v>
      </c>
      <c r="J21" s="115" t="s">
        <v>10</v>
      </c>
      <c r="K21" s="39"/>
      <c r="L21" s="39"/>
      <c r="M21" s="39"/>
      <c r="N21" s="39"/>
      <c r="O21" s="40"/>
      <c r="P21" s="4"/>
    </row>
    <row r="22" spans="2:16" ht="15.75" customHeight="1">
      <c r="B22" s="68" t="s">
        <v>257</v>
      </c>
      <c r="C22" s="130" t="s">
        <v>185</v>
      </c>
      <c r="D22" s="89" t="s">
        <v>258</v>
      </c>
      <c r="E22" s="57" t="s">
        <v>259</v>
      </c>
      <c r="F22" s="57" t="s">
        <v>260</v>
      </c>
      <c r="G22" s="58"/>
      <c r="H22" s="115" t="s">
        <v>10</v>
      </c>
      <c r="I22" s="115" t="s">
        <v>10</v>
      </c>
      <c r="J22" s="115" t="s">
        <v>10</v>
      </c>
      <c r="K22" s="39"/>
      <c r="L22" s="39"/>
      <c r="M22" s="39"/>
      <c r="N22" s="39"/>
      <c r="O22" s="40"/>
      <c r="P22" s="4"/>
    </row>
    <row r="23" spans="2:16" ht="15.75" customHeight="1">
      <c r="B23" s="68" t="s">
        <v>261</v>
      </c>
      <c r="C23" s="130" t="s">
        <v>185</v>
      </c>
      <c r="D23" s="63" t="s">
        <v>262</v>
      </c>
      <c r="E23" s="131" t="s">
        <v>263</v>
      </c>
      <c r="F23" s="57" t="s">
        <v>264</v>
      </c>
      <c r="G23" s="58"/>
      <c r="H23" s="115" t="s">
        <v>10</v>
      </c>
      <c r="I23" s="115" t="s">
        <v>10</v>
      </c>
      <c r="J23" s="115" t="s">
        <v>10</v>
      </c>
      <c r="K23" s="39"/>
      <c r="L23" s="39"/>
      <c r="M23" s="39"/>
      <c r="N23" s="39"/>
      <c r="O23" s="40"/>
      <c r="P23" s="4"/>
    </row>
    <row r="24" spans="2:16" ht="15.75" customHeight="1">
      <c r="B24" s="68" t="s">
        <v>265</v>
      </c>
      <c r="C24" s="130" t="s">
        <v>185</v>
      </c>
      <c r="D24" s="132" t="s">
        <v>266</v>
      </c>
      <c r="E24" s="57" t="s">
        <v>267</v>
      </c>
      <c r="F24" s="57" t="s">
        <v>268</v>
      </c>
      <c r="G24" s="58"/>
      <c r="H24" s="115" t="s">
        <v>10</v>
      </c>
      <c r="I24" s="115" t="s">
        <v>10</v>
      </c>
      <c r="J24" s="115" t="s">
        <v>10</v>
      </c>
      <c r="K24" s="39"/>
      <c r="L24" s="39"/>
      <c r="M24" s="39"/>
      <c r="N24" s="39"/>
      <c r="O24" s="40"/>
      <c r="P24" s="4"/>
    </row>
    <row r="25" spans="2:16" ht="15.75" customHeight="1">
      <c r="B25" s="68" t="s">
        <v>269</v>
      </c>
      <c r="C25" s="130" t="s">
        <v>185</v>
      </c>
      <c r="D25" s="89" t="s">
        <v>270</v>
      </c>
      <c r="E25" s="57" t="s">
        <v>271</v>
      </c>
      <c r="F25" s="57" t="s">
        <v>272</v>
      </c>
      <c r="G25" s="58"/>
      <c r="H25" s="115" t="s">
        <v>10</v>
      </c>
      <c r="I25" s="115" t="s">
        <v>10</v>
      </c>
      <c r="J25" s="115" t="s">
        <v>10</v>
      </c>
      <c r="K25" s="39"/>
      <c r="L25" s="39"/>
      <c r="M25" s="39"/>
      <c r="N25" s="39"/>
      <c r="O25" s="40"/>
      <c r="P25" s="4"/>
    </row>
    <row r="26" spans="2:16" ht="15.75" customHeight="1">
      <c r="B26" s="68" t="s">
        <v>273</v>
      </c>
      <c r="C26" s="130" t="s">
        <v>185</v>
      </c>
      <c r="D26" s="89" t="s">
        <v>274</v>
      </c>
      <c r="E26" s="57" t="s">
        <v>275</v>
      </c>
      <c r="F26" s="57" t="s">
        <v>276</v>
      </c>
      <c r="G26" s="58"/>
      <c r="H26" s="115" t="s">
        <v>10</v>
      </c>
      <c r="I26" s="115" t="s">
        <v>10</v>
      </c>
      <c r="J26" s="115" t="s">
        <v>10</v>
      </c>
      <c r="K26" s="39"/>
      <c r="L26" s="39"/>
      <c r="M26" s="39"/>
      <c r="N26" s="39"/>
      <c r="O26" s="40"/>
      <c r="P26" s="4"/>
    </row>
    <row r="27" spans="2:16" ht="15.75" customHeight="1">
      <c r="B27" s="68" t="s">
        <v>277</v>
      </c>
      <c r="C27" s="130" t="s">
        <v>185</v>
      </c>
      <c r="D27" s="89" t="s">
        <v>278</v>
      </c>
      <c r="E27" s="57" t="s">
        <v>279</v>
      </c>
      <c r="F27" s="57" t="s">
        <v>280</v>
      </c>
      <c r="G27" s="58"/>
      <c r="H27" s="115" t="s">
        <v>10</v>
      </c>
      <c r="I27" s="115" t="s">
        <v>10</v>
      </c>
      <c r="J27" s="115" t="s">
        <v>10</v>
      </c>
      <c r="K27" s="39"/>
      <c r="L27" s="39"/>
      <c r="M27" s="39"/>
      <c r="N27" s="39"/>
      <c r="O27" s="40"/>
      <c r="P27" s="4"/>
    </row>
    <row r="28" spans="2:16" ht="15.75" customHeight="1">
      <c r="B28" s="68" t="s">
        <v>281</v>
      </c>
      <c r="C28" s="130" t="s">
        <v>185</v>
      </c>
      <c r="D28" s="89" t="s">
        <v>282</v>
      </c>
      <c r="E28" s="57" t="s">
        <v>283</v>
      </c>
      <c r="F28" s="57" t="s">
        <v>284</v>
      </c>
      <c r="G28" s="58"/>
      <c r="H28" s="115" t="s">
        <v>10</v>
      </c>
      <c r="I28" s="115" t="s">
        <v>10</v>
      </c>
      <c r="J28" s="115" t="s">
        <v>10</v>
      </c>
      <c r="K28" s="39"/>
      <c r="L28" s="39"/>
      <c r="M28" s="39"/>
      <c r="N28" s="39"/>
      <c r="O28" s="40"/>
      <c r="P28" s="4"/>
    </row>
    <row r="29" spans="2:16" ht="15.75" customHeight="1">
      <c r="B29" s="68" t="s">
        <v>285</v>
      </c>
      <c r="C29" s="130" t="s">
        <v>185</v>
      </c>
      <c r="D29" s="89" t="s">
        <v>286</v>
      </c>
      <c r="E29" s="57" t="s">
        <v>287</v>
      </c>
      <c r="F29" s="57" t="s">
        <v>288</v>
      </c>
      <c r="G29" s="58"/>
      <c r="H29" s="115" t="s">
        <v>10</v>
      </c>
      <c r="I29" s="115" t="s">
        <v>10</v>
      </c>
      <c r="J29" s="115" t="s">
        <v>10</v>
      </c>
      <c r="K29" s="39"/>
      <c r="L29" s="39"/>
      <c r="M29" s="39"/>
      <c r="N29" s="39"/>
      <c r="O29" s="40"/>
      <c r="P29" s="4"/>
    </row>
    <row r="30" spans="2:16" ht="15.75" customHeight="1">
      <c r="B30" s="68" t="s">
        <v>289</v>
      </c>
      <c r="C30" s="130" t="s">
        <v>185</v>
      </c>
      <c r="D30" s="89" t="s">
        <v>290</v>
      </c>
      <c r="E30" s="57" t="s">
        <v>291</v>
      </c>
      <c r="F30" s="57" t="s">
        <v>292</v>
      </c>
      <c r="G30" s="58"/>
      <c r="H30" s="115" t="s">
        <v>10</v>
      </c>
      <c r="I30" s="115" t="s">
        <v>10</v>
      </c>
      <c r="J30" s="115" t="s">
        <v>10</v>
      </c>
      <c r="K30" s="39"/>
      <c r="L30" s="39"/>
      <c r="M30" s="39"/>
      <c r="N30" s="39"/>
      <c r="O30" s="40"/>
      <c r="P30" s="4"/>
    </row>
    <row r="31" spans="2:16" ht="15.75" customHeight="1">
      <c r="B31" s="68" t="s">
        <v>293</v>
      </c>
      <c r="C31" s="130" t="s">
        <v>185</v>
      </c>
      <c r="D31" s="89" t="s">
        <v>294</v>
      </c>
      <c r="E31" s="57" t="s">
        <v>295</v>
      </c>
      <c r="F31" s="57" t="s">
        <v>296</v>
      </c>
      <c r="G31" s="58"/>
      <c r="H31" s="115" t="s">
        <v>10</v>
      </c>
      <c r="I31" s="115" t="s">
        <v>10</v>
      </c>
      <c r="J31" s="115" t="s">
        <v>10</v>
      </c>
      <c r="K31" s="39"/>
      <c r="L31" s="39"/>
      <c r="M31" s="39"/>
      <c r="N31" s="39"/>
      <c r="O31" s="40"/>
      <c r="P31" s="4"/>
    </row>
    <row r="32" spans="2:16" ht="15.75" customHeight="1">
      <c r="B32" s="68" t="s">
        <v>297</v>
      </c>
      <c r="C32" s="130" t="s">
        <v>185</v>
      </c>
      <c r="D32" s="89" t="s">
        <v>298</v>
      </c>
      <c r="E32" s="57" t="s">
        <v>299</v>
      </c>
      <c r="F32" s="57" t="s">
        <v>300</v>
      </c>
      <c r="G32" s="58"/>
      <c r="H32" s="115" t="s">
        <v>10</v>
      </c>
      <c r="I32" s="115" t="s">
        <v>10</v>
      </c>
      <c r="J32" s="115" t="s">
        <v>10</v>
      </c>
      <c r="K32" s="39"/>
      <c r="L32" s="39"/>
      <c r="M32" s="39"/>
      <c r="N32" s="39"/>
      <c r="O32" s="40"/>
      <c r="P32" s="4"/>
    </row>
    <row r="33" spans="1:28" ht="15.75" customHeight="1">
      <c r="A33" s="125"/>
      <c r="B33" s="58"/>
      <c r="C33" s="83" t="s">
        <v>301</v>
      </c>
      <c r="D33" s="133" t="s">
        <v>302</v>
      </c>
      <c r="E33" s="134" t="s">
        <v>303</v>
      </c>
      <c r="F33" s="134" t="s">
        <v>304</v>
      </c>
      <c r="G33" s="58"/>
      <c r="H33" s="115" t="s">
        <v>10</v>
      </c>
      <c r="I33" s="115" t="s">
        <v>10</v>
      </c>
      <c r="J33" s="115" t="s">
        <v>10</v>
      </c>
      <c r="K33" s="135"/>
      <c r="L33" s="135"/>
      <c r="M33" s="135"/>
      <c r="N33" s="135"/>
      <c r="O33" s="135"/>
      <c r="P33" s="4"/>
      <c r="Q33" s="125"/>
      <c r="R33" s="125"/>
      <c r="S33" s="125"/>
      <c r="T33" s="125"/>
      <c r="U33" s="125"/>
      <c r="V33" s="125"/>
      <c r="W33" s="125"/>
      <c r="X33" s="125"/>
      <c r="Y33" s="125"/>
      <c r="Z33" s="125"/>
      <c r="AA33" s="125"/>
      <c r="AB33" s="125"/>
    </row>
    <row r="34" spans="1:28" ht="15.75" customHeight="1">
      <c r="A34" s="125"/>
      <c r="B34" s="58"/>
      <c r="C34" s="83" t="s">
        <v>301</v>
      </c>
      <c r="D34" s="133" t="s">
        <v>305</v>
      </c>
      <c r="E34" s="134" t="s">
        <v>306</v>
      </c>
      <c r="F34" s="134" t="s">
        <v>307</v>
      </c>
      <c r="G34" s="58"/>
      <c r="H34" s="136" t="s">
        <v>10</v>
      </c>
      <c r="I34" s="136" t="s">
        <v>10</v>
      </c>
      <c r="J34" s="136" t="s">
        <v>10</v>
      </c>
      <c r="K34" s="135"/>
      <c r="L34" s="135"/>
      <c r="M34" s="135"/>
      <c r="N34" s="135"/>
      <c r="O34" s="135"/>
      <c r="P34" s="4"/>
      <c r="Q34" s="125"/>
      <c r="R34" s="125"/>
      <c r="S34" s="125"/>
      <c r="T34" s="125"/>
      <c r="U34" s="125"/>
      <c r="V34" s="125"/>
      <c r="W34" s="125"/>
      <c r="X34" s="125"/>
      <c r="Y34" s="125"/>
      <c r="Z34" s="125"/>
      <c r="AA34" s="125"/>
      <c r="AB34" s="125"/>
    </row>
    <row r="35" spans="1:28" ht="15.75" customHeight="1">
      <c r="A35" s="125"/>
      <c r="B35" s="58"/>
      <c r="C35" s="83" t="s">
        <v>301</v>
      </c>
      <c r="D35" s="133" t="s">
        <v>308</v>
      </c>
      <c r="E35" s="134" t="s">
        <v>309</v>
      </c>
      <c r="F35" s="134" t="s">
        <v>310</v>
      </c>
      <c r="G35" s="58"/>
      <c r="H35" s="136" t="s">
        <v>10</v>
      </c>
      <c r="I35" s="136" t="s">
        <v>10</v>
      </c>
      <c r="J35" s="136" t="s">
        <v>10</v>
      </c>
      <c r="K35" s="135"/>
      <c r="L35" s="135"/>
      <c r="M35" s="135"/>
      <c r="N35" s="135"/>
      <c r="O35" s="135"/>
      <c r="P35" s="4"/>
      <c r="Q35" s="125"/>
      <c r="R35" s="125"/>
      <c r="S35" s="125"/>
      <c r="T35" s="125"/>
      <c r="U35" s="125"/>
      <c r="V35" s="125"/>
      <c r="W35" s="125"/>
      <c r="X35" s="125"/>
      <c r="Y35" s="125"/>
      <c r="Z35" s="125"/>
      <c r="AA35" s="125"/>
      <c r="AB35" s="125"/>
    </row>
    <row r="36" spans="1:28" ht="15.75" customHeight="1">
      <c r="A36" s="125"/>
      <c r="B36" s="58" t="s">
        <v>311</v>
      </c>
      <c r="C36" s="137" t="s">
        <v>312</v>
      </c>
      <c r="D36" s="119" t="s">
        <v>313</v>
      </c>
      <c r="E36" s="135" t="s">
        <v>314</v>
      </c>
      <c r="F36" s="135" t="s">
        <v>315</v>
      </c>
      <c r="G36" s="58"/>
      <c r="H36" s="136" t="s">
        <v>10</v>
      </c>
      <c r="I36" s="136" t="s">
        <v>10</v>
      </c>
      <c r="J36" s="136" t="s">
        <v>10</v>
      </c>
      <c r="K36" s="135"/>
      <c r="L36" s="135"/>
      <c r="M36" s="135"/>
      <c r="N36" s="135"/>
      <c r="O36" s="135"/>
      <c r="P36" s="4"/>
      <c r="Q36" s="125"/>
      <c r="R36" s="125"/>
      <c r="S36" s="125"/>
      <c r="T36" s="125"/>
      <c r="U36" s="125"/>
      <c r="V36" s="125"/>
      <c r="W36" s="125"/>
      <c r="X36" s="125"/>
      <c r="Y36" s="125"/>
      <c r="Z36" s="125"/>
      <c r="AA36" s="125"/>
      <c r="AB36" s="125"/>
    </row>
    <row r="37" spans="1:28" ht="15.75" customHeight="1">
      <c r="A37" s="125"/>
      <c r="B37" s="58" t="s">
        <v>316</v>
      </c>
      <c r="C37" s="137" t="s">
        <v>312</v>
      </c>
      <c r="D37" s="119" t="s">
        <v>313</v>
      </c>
      <c r="E37" s="135" t="s">
        <v>317</v>
      </c>
      <c r="F37" s="135" t="s">
        <v>318</v>
      </c>
      <c r="G37" s="58"/>
      <c r="H37" s="136" t="s">
        <v>10</v>
      </c>
      <c r="I37" s="136" t="s">
        <v>10</v>
      </c>
      <c r="J37" s="136" t="s">
        <v>10</v>
      </c>
      <c r="K37" s="135"/>
      <c r="L37" s="135"/>
      <c r="M37" s="135"/>
      <c r="N37" s="135"/>
      <c r="O37" s="135"/>
      <c r="P37" s="4"/>
      <c r="Q37" s="125"/>
      <c r="R37" s="125"/>
      <c r="S37" s="125"/>
      <c r="T37" s="125"/>
      <c r="U37" s="125"/>
      <c r="V37" s="125"/>
      <c r="W37" s="125"/>
      <c r="X37" s="125"/>
      <c r="Y37" s="125"/>
      <c r="Z37" s="125"/>
      <c r="AA37" s="125"/>
      <c r="AB37" s="125"/>
    </row>
    <row r="38" spans="1:28" ht="15.75" customHeight="1">
      <c r="A38" s="125"/>
      <c r="B38" s="58" t="s">
        <v>319</v>
      </c>
      <c r="C38" s="137" t="s">
        <v>312</v>
      </c>
      <c r="D38" s="138" t="s">
        <v>320</v>
      </c>
      <c r="E38" s="41" t="s">
        <v>321</v>
      </c>
      <c r="F38" s="41" t="s">
        <v>322</v>
      </c>
      <c r="G38" s="58"/>
      <c r="H38" s="136" t="s">
        <v>10</v>
      </c>
      <c r="I38" s="136" t="s">
        <v>10</v>
      </c>
      <c r="J38" s="136" t="s">
        <v>10</v>
      </c>
      <c r="K38" s="135"/>
      <c r="L38" s="135"/>
      <c r="M38" s="135"/>
      <c r="N38" s="135"/>
      <c r="O38" s="135"/>
      <c r="P38" s="4"/>
      <c r="Q38" s="125"/>
      <c r="R38" s="125"/>
      <c r="S38" s="125"/>
      <c r="T38" s="125"/>
      <c r="U38" s="125"/>
      <c r="V38" s="125"/>
      <c r="W38" s="125"/>
      <c r="X38" s="125"/>
      <c r="Y38" s="125"/>
      <c r="Z38" s="125"/>
      <c r="AA38" s="125"/>
      <c r="AB38" s="125"/>
    </row>
    <row r="39" spans="1:28" ht="15.75" customHeight="1">
      <c r="A39" s="125"/>
      <c r="B39" s="58" t="s">
        <v>323</v>
      </c>
      <c r="C39" s="137" t="s">
        <v>312</v>
      </c>
      <c r="D39" s="138" t="s">
        <v>324</v>
      </c>
      <c r="E39" s="135" t="s">
        <v>325</v>
      </c>
      <c r="F39" s="41" t="s">
        <v>326</v>
      </c>
      <c r="G39" s="58"/>
      <c r="H39" s="136" t="s">
        <v>10</v>
      </c>
      <c r="I39" s="136" t="s">
        <v>10</v>
      </c>
      <c r="J39" s="136" t="s">
        <v>10</v>
      </c>
      <c r="K39" s="135"/>
      <c r="L39" s="135"/>
      <c r="M39" s="135"/>
      <c r="N39" s="135"/>
      <c r="O39" s="135"/>
      <c r="P39" s="4"/>
      <c r="Q39" s="125"/>
      <c r="R39" s="125"/>
      <c r="S39" s="125"/>
      <c r="T39" s="125"/>
      <c r="U39" s="125"/>
      <c r="V39" s="125"/>
      <c r="W39" s="125"/>
      <c r="X39" s="125"/>
      <c r="Y39" s="125"/>
      <c r="Z39" s="125"/>
      <c r="AA39" s="125"/>
      <c r="AB39" s="125"/>
    </row>
    <row r="40" spans="1:28" ht="15.75" customHeight="1">
      <c r="A40" s="125"/>
      <c r="B40" s="58" t="s">
        <v>327</v>
      </c>
      <c r="C40" s="137" t="s">
        <v>312</v>
      </c>
      <c r="D40" s="138" t="s">
        <v>324</v>
      </c>
      <c r="E40" s="41" t="s">
        <v>328</v>
      </c>
      <c r="F40" s="123" t="s">
        <v>329</v>
      </c>
      <c r="G40" s="58"/>
      <c r="H40" s="136" t="s">
        <v>10</v>
      </c>
      <c r="I40" s="136" t="s">
        <v>10</v>
      </c>
      <c r="J40" s="136" t="s">
        <v>10</v>
      </c>
      <c r="K40" s="135"/>
      <c r="L40" s="135"/>
      <c r="M40" s="135"/>
      <c r="N40" s="135"/>
      <c r="O40" s="135"/>
      <c r="P40" s="4"/>
      <c r="Q40" s="125"/>
      <c r="R40" s="125"/>
      <c r="S40" s="125"/>
      <c r="T40" s="125"/>
      <c r="U40" s="125"/>
      <c r="V40" s="125"/>
      <c r="W40" s="125"/>
      <c r="X40" s="125"/>
      <c r="Y40" s="125"/>
      <c r="Z40" s="125"/>
      <c r="AA40" s="125"/>
      <c r="AB40" s="125"/>
    </row>
    <row r="41" spans="1:28" ht="15.75" customHeight="1">
      <c r="A41" s="125"/>
      <c r="B41" s="58" t="s">
        <v>330</v>
      </c>
      <c r="C41" s="137" t="s">
        <v>312</v>
      </c>
      <c r="D41" s="138" t="s">
        <v>331</v>
      </c>
      <c r="E41" s="135" t="s">
        <v>332</v>
      </c>
      <c r="F41" s="41" t="s">
        <v>333</v>
      </c>
      <c r="G41" s="58"/>
      <c r="H41" s="136" t="s">
        <v>10</v>
      </c>
      <c r="I41" s="136" t="s">
        <v>10</v>
      </c>
      <c r="J41" s="136" t="s">
        <v>10</v>
      </c>
      <c r="K41" s="135"/>
      <c r="L41" s="135"/>
      <c r="M41" s="135"/>
      <c r="N41" s="135"/>
      <c r="O41" s="135"/>
      <c r="P41" s="4"/>
      <c r="Q41" s="125"/>
      <c r="R41" s="125"/>
      <c r="S41" s="125"/>
      <c r="T41" s="125"/>
      <c r="U41" s="125"/>
      <c r="V41" s="125"/>
      <c r="W41" s="125"/>
      <c r="X41" s="125"/>
      <c r="Y41" s="125"/>
      <c r="Z41" s="125"/>
      <c r="AA41" s="125"/>
      <c r="AB41" s="125"/>
    </row>
    <row r="42" spans="1:28" ht="15.75" customHeight="1">
      <c r="A42" s="125"/>
      <c r="B42" s="125"/>
      <c r="C42" s="125"/>
      <c r="D42" s="139"/>
      <c r="E42" s="140"/>
      <c r="F42" s="125"/>
      <c r="G42" s="125"/>
      <c r="H42" s="125"/>
      <c r="I42" s="125"/>
      <c r="J42" s="125"/>
      <c r="K42" s="125"/>
      <c r="L42" s="125"/>
      <c r="M42" s="125"/>
      <c r="N42" s="125"/>
      <c r="O42" s="125"/>
      <c r="P42" s="4"/>
      <c r="Q42" s="125"/>
      <c r="R42" s="125"/>
      <c r="S42" s="125"/>
      <c r="T42" s="125"/>
      <c r="U42" s="125"/>
      <c r="V42" s="125"/>
      <c r="W42" s="125"/>
      <c r="X42" s="125"/>
      <c r="Y42" s="125"/>
      <c r="Z42" s="125"/>
      <c r="AA42" s="125"/>
      <c r="AB42" s="125"/>
    </row>
    <row r="43" spans="1:28" ht="15.75" customHeight="1">
      <c r="A43" s="125"/>
      <c r="B43" s="125"/>
      <c r="C43" s="125"/>
      <c r="D43" s="139"/>
      <c r="E43" s="140"/>
      <c r="F43" s="125"/>
      <c r="G43" s="125"/>
      <c r="H43" s="125"/>
      <c r="I43" s="125"/>
      <c r="J43" s="125"/>
      <c r="K43" s="125"/>
      <c r="L43" s="125"/>
      <c r="M43" s="125"/>
      <c r="N43" s="125"/>
      <c r="O43" s="125"/>
      <c r="P43" s="4"/>
      <c r="Q43" s="125"/>
      <c r="R43" s="125"/>
      <c r="S43" s="125"/>
      <c r="T43" s="125"/>
      <c r="U43" s="125"/>
      <c r="V43" s="125"/>
      <c r="W43" s="125"/>
      <c r="X43" s="125"/>
      <c r="Y43" s="125"/>
      <c r="Z43" s="125"/>
      <c r="AA43" s="125"/>
      <c r="AB43" s="125"/>
    </row>
    <row r="44" spans="1:28" ht="15.75" customHeight="1">
      <c r="A44" s="125"/>
      <c r="B44" s="125"/>
      <c r="C44" s="125"/>
      <c r="D44" s="139" t="s">
        <v>334</v>
      </c>
      <c r="E44" s="140" t="s">
        <v>335</v>
      </c>
      <c r="F44" s="125"/>
      <c r="G44" s="125"/>
      <c r="H44" s="125"/>
      <c r="I44" s="125"/>
      <c r="J44" s="125"/>
      <c r="K44" s="125"/>
      <c r="L44" s="125"/>
      <c r="M44" s="125"/>
      <c r="N44" s="125"/>
      <c r="O44" s="125"/>
      <c r="P44" s="4"/>
      <c r="Q44" s="125"/>
      <c r="R44" s="125"/>
      <c r="S44" s="125"/>
      <c r="T44" s="125"/>
      <c r="U44" s="125"/>
      <c r="V44" s="125"/>
      <c r="W44" s="125"/>
      <c r="X44" s="125"/>
      <c r="Y44" s="125"/>
      <c r="Z44" s="125"/>
      <c r="AA44" s="125"/>
      <c r="AB44" s="125"/>
    </row>
    <row r="45" spans="1:28" ht="15.75" customHeight="1">
      <c r="A45" s="125"/>
      <c r="B45" s="125"/>
      <c r="C45" s="125"/>
      <c r="D45" s="4"/>
      <c r="E45" s="125"/>
      <c r="F45" s="125"/>
      <c r="G45" s="125"/>
      <c r="H45" s="125"/>
      <c r="I45" s="125"/>
      <c r="J45" s="125"/>
      <c r="K45" s="125"/>
      <c r="L45" s="125"/>
      <c r="M45" s="125"/>
      <c r="N45" s="125"/>
      <c r="O45" s="125"/>
      <c r="P45" s="4"/>
      <c r="Q45" s="125"/>
      <c r="R45" s="125"/>
      <c r="S45" s="125"/>
      <c r="T45" s="125"/>
      <c r="U45" s="125"/>
      <c r="V45" s="125"/>
      <c r="W45" s="125"/>
      <c r="X45" s="125"/>
      <c r="Y45" s="125"/>
      <c r="Z45" s="125"/>
      <c r="AA45" s="125"/>
      <c r="AB45" s="125"/>
    </row>
    <row r="46" spans="1:28" ht="42">
      <c r="A46" s="125"/>
      <c r="B46" s="68" t="s">
        <v>336</v>
      </c>
      <c r="C46" s="83" t="s">
        <v>301</v>
      </c>
      <c r="D46" s="133" t="s">
        <v>305</v>
      </c>
      <c r="E46" s="134" t="s">
        <v>306</v>
      </c>
      <c r="F46" s="134" t="s">
        <v>307</v>
      </c>
      <c r="G46" s="58"/>
      <c r="H46" s="136" t="s">
        <v>10</v>
      </c>
      <c r="I46" s="136" t="s">
        <v>10</v>
      </c>
      <c r="J46" s="136" t="s">
        <v>10</v>
      </c>
      <c r="K46" s="135"/>
      <c r="L46" s="135"/>
      <c r="M46" s="135"/>
      <c r="N46" s="135"/>
      <c r="O46" s="135"/>
      <c r="P46" s="4"/>
      <c r="Q46" s="125"/>
      <c r="R46" s="125"/>
      <c r="S46" s="125"/>
      <c r="T46" s="125"/>
      <c r="U46" s="125"/>
      <c r="V46" s="125"/>
      <c r="W46" s="125"/>
      <c r="X46" s="125"/>
      <c r="Y46" s="125"/>
      <c r="Z46" s="125"/>
      <c r="AA46" s="125"/>
      <c r="AB46" s="125"/>
    </row>
    <row r="47" spans="1:28" ht="69.599999999999994">
      <c r="A47" s="125"/>
      <c r="B47" s="68" t="s">
        <v>337</v>
      </c>
      <c r="C47" s="83" t="s">
        <v>301</v>
      </c>
      <c r="D47" s="133" t="s">
        <v>308</v>
      </c>
      <c r="E47" s="134" t="s">
        <v>309</v>
      </c>
      <c r="F47" s="134" t="s">
        <v>310</v>
      </c>
      <c r="G47" s="58"/>
      <c r="H47" s="136" t="s">
        <v>10</v>
      </c>
      <c r="I47" s="136" t="s">
        <v>10</v>
      </c>
      <c r="J47" s="136" t="s">
        <v>10</v>
      </c>
      <c r="K47" s="135"/>
      <c r="L47" s="135"/>
      <c r="M47" s="135"/>
      <c r="N47" s="135"/>
      <c r="O47" s="135"/>
      <c r="P47" s="4"/>
      <c r="Q47" s="125"/>
      <c r="R47" s="125"/>
      <c r="S47" s="125"/>
      <c r="T47" s="125"/>
      <c r="U47" s="125"/>
      <c r="V47" s="125"/>
      <c r="W47" s="125"/>
      <c r="X47" s="125"/>
      <c r="Y47" s="125"/>
      <c r="Z47" s="125"/>
      <c r="AA47" s="125"/>
      <c r="AB47" s="125"/>
    </row>
    <row r="48" spans="1:28" ht="42">
      <c r="A48" s="125"/>
      <c r="B48" s="68" t="s">
        <v>338</v>
      </c>
      <c r="C48" s="83" t="s">
        <v>339</v>
      </c>
      <c r="D48" s="133" t="s">
        <v>340</v>
      </c>
      <c r="E48" s="141" t="s">
        <v>341</v>
      </c>
      <c r="F48" s="142" t="s">
        <v>342</v>
      </c>
      <c r="G48" s="58"/>
      <c r="H48" s="136" t="s">
        <v>10</v>
      </c>
      <c r="I48" s="136" t="s">
        <v>10</v>
      </c>
      <c r="J48" s="136" t="s">
        <v>10</v>
      </c>
      <c r="K48" s="135"/>
      <c r="L48" s="135"/>
      <c r="M48" s="135"/>
      <c r="N48" s="135"/>
      <c r="O48" s="135"/>
      <c r="P48" s="4"/>
      <c r="Q48" s="125"/>
      <c r="R48" s="125"/>
      <c r="S48" s="125"/>
      <c r="T48" s="125"/>
      <c r="U48" s="125"/>
      <c r="V48" s="125"/>
      <c r="W48" s="125"/>
      <c r="X48" s="125"/>
      <c r="Y48" s="125"/>
      <c r="Z48" s="125"/>
      <c r="AA48" s="125"/>
      <c r="AB48" s="125"/>
    </row>
    <row r="49" spans="1:28" ht="55.2">
      <c r="A49" s="125"/>
      <c r="B49" s="68" t="s">
        <v>343</v>
      </c>
      <c r="C49" s="83" t="s">
        <v>339</v>
      </c>
      <c r="D49" s="133" t="s">
        <v>344</v>
      </c>
      <c r="E49" s="143" t="s">
        <v>345</v>
      </c>
      <c r="F49" s="64" t="s">
        <v>346</v>
      </c>
      <c r="G49" s="58"/>
      <c r="H49" s="136" t="s">
        <v>10</v>
      </c>
      <c r="I49" s="136" t="s">
        <v>10</v>
      </c>
      <c r="J49" s="136" t="s">
        <v>10</v>
      </c>
      <c r="K49" s="135"/>
      <c r="L49" s="135"/>
      <c r="M49" s="135"/>
      <c r="N49" s="135"/>
      <c r="O49" s="135"/>
      <c r="P49" s="4"/>
      <c r="Q49" s="125"/>
      <c r="R49" s="125"/>
      <c r="S49" s="125"/>
      <c r="T49" s="125"/>
      <c r="U49" s="125"/>
      <c r="V49" s="125"/>
      <c r="W49" s="125"/>
      <c r="X49" s="125"/>
      <c r="Y49" s="125"/>
      <c r="Z49" s="125"/>
      <c r="AA49" s="125"/>
      <c r="AB49" s="125"/>
    </row>
    <row r="50" spans="1:28" ht="14.4">
      <c r="A50" s="125"/>
      <c r="B50" s="68"/>
      <c r="C50" s="83"/>
      <c r="D50" s="32"/>
      <c r="E50" s="143"/>
      <c r="F50" s="64"/>
      <c r="G50" s="58"/>
      <c r="H50" s="136" t="s">
        <v>10</v>
      </c>
      <c r="I50" s="136" t="s">
        <v>10</v>
      </c>
      <c r="J50" s="136" t="s">
        <v>10</v>
      </c>
      <c r="K50" s="135"/>
      <c r="L50" s="135"/>
      <c r="M50" s="135"/>
      <c r="N50" s="135"/>
      <c r="O50" s="135"/>
      <c r="P50" s="4"/>
      <c r="Q50" s="125"/>
      <c r="R50" s="125"/>
      <c r="S50" s="125"/>
      <c r="T50" s="125"/>
      <c r="U50" s="125"/>
      <c r="V50" s="125"/>
      <c r="W50" s="125"/>
      <c r="X50" s="125"/>
      <c r="Y50" s="125"/>
      <c r="Z50" s="125"/>
      <c r="AA50" s="125"/>
      <c r="AB50" s="125"/>
    </row>
    <row r="51" spans="1:28" ht="17.399999999999999">
      <c r="A51" s="125"/>
      <c r="B51" s="68"/>
      <c r="C51" s="83"/>
      <c r="D51" s="32"/>
      <c r="E51" s="144" t="s">
        <v>347</v>
      </c>
      <c r="F51" s="64"/>
      <c r="G51" s="58"/>
      <c r="H51" s="136" t="s">
        <v>10</v>
      </c>
      <c r="I51" s="136" t="s">
        <v>10</v>
      </c>
      <c r="J51" s="136" t="s">
        <v>10</v>
      </c>
      <c r="K51" s="135"/>
      <c r="L51" s="135"/>
      <c r="M51" s="135"/>
      <c r="N51" s="135"/>
      <c r="O51" s="135"/>
      <c r="P51" s="4"/>
      <c r="Q51" s="125"/>
      <c r="R51" s="125"/>
      <c r="S51" s="125"/>
      <c r="T51" s="125"/>
      <c r="U51" s="125"/>
      <c r="V51" s="125"/>
      <c r="W51" s="125"/>
      <c r="X51" s="125"/>
      <c r="Y51" s="125"/>
      <c r="Z51" s="125"/>
      <c r="AA51" s="125"/>
      <c r="AB51" s="125"/>
    </row>
    <row r="52" spans="1:28" ht="83.4">
      <c r="A52" s="125"/>
      <c r="B52" s="68" t="s">
        <v>348</v>
      </c>
      <c r="C52" s="83" t="s">
        <v>22</v>
      </c>
      <c r="D52" s="145" t="s">
        <v>349</v>
      </c>
      <c r="E52" s="146" t="s">
        <v>350</v>
      </c>
      <c r="F52" s="146" t="s">
        <v>351</v>
      </c>
      <c r="G52" s="58"/>
      <c r="H52" s="136" t="s">
        <v>10</v>
      </c>
      <c r="I52" s="136" t="s">
        <v>10</v>
      </c>
      <c r="J52" s="136" t="s">
        <v>10</v>
      </c>
      <c r="K52" s="135"/>
      <c r="L52" s="135"/>
      <c r="M52" s="135"/>
      <c r="N52" s="135"/>
      <c r="O52" s="135"/>
      <c r="P52" s="4"/>
      <c r="Q52" s="125"/>
      <c r="R52" s="125"/>
      <c r="S52" s="125"/>
      <c r="T52" s="125"/>
      <c r="U52" s="125"/>
      <c r="V52" s="125"/>
      <c r="W52" s="125"/>
      <c r="X52" s="125"/>
      <c r="Y52" s="125"/>
      <c r="Z52" s="125"/>
      <c r="AA52" s="125"/>
      <c r="AB52" s="125"/>
    </row>
    <row r="53" spans="1:28" ht="83.4">
      <c r="A53" s="125"/>
      <c r="B53" s="68" t="s">
        <v>352</v>
      </c>
      <c r="C53" s="83" t="s">
        <v>22</v>
      </c>
      <c r="D53" s="145" t="s">
        <v>353</v>
      </c>
      <c r="E53" s="146" t="s">
        <v>354</v>
      </c>
      <c r="F53" s="146" t="s">
        <v>355</v>
      </c>
      <c r="G53" s="58"/>
      <c r="H53" s="136" t="s">
        <v>10</v>
      </c>
      <c r="I53" s="136" t="s">
        <v>10</v>
      </c>
      <c r="J53" s="136" t="s">
        <v>10</v>
      </c>
      <c r="K53" s="135"/>
      <c r="L53" s="135"/>
      <c r="M53" s="135"/>
      <c r="N53" s="135"/>
      <c r="O53" s="135"/>
      <c r="P53" s="4"/>
      <c r="Q53" s="125"/>
      <c r="R53" s="125"/>
      <c r="S53" s="125"/>
      <c r="T53" s="125"/>
      <c r="U53" s="125"/>
      <c r="V53" s="125"/>
      <c r="W53" s="125"/>
      <c r="X53" s="125"/>
      <c r="Y53" s="125"/>
      <c r="Z53" s="125"/>
      <c r="AA53" s="125"/>
      <c r="AB53" s="125"/>
    </row>
    <row r="54" spans="1:28" ht="83.4">
      <c r="A54" s="125"/>
      <c r="B54" s="68" t="s">
        <v>356</v>
      </c>
      <c r="C54" s="83" t="s">
        <v>22</v>
      </c>
      <c r="D54" s="145" t="s">
        <v>357</v>
      </c>
      <c r="E54" s="146" t="s">
        <v>358</v>
      </c>
      <c r="F54" s="146" t="s">
        <v>359</v>
      </c>
      <c r="G54" s="58"/>
      <c r="H54" s="136" t="s">
        <v>10</v>
      </c>
      <c r="I54" s="136" t="s">
        <v>10</v>
      </c>
      <c r="J54" s="136" t="s">
        <v>10</v>
      </c>
      <c r="K54" s="135"/>
      <c r="L54" s="135"/>
      <c r="M54" s="135"/>
      <c r="N54" s="135"/>
      <c r="O54" s="135"/>
      <c r="P54" s="4"/>
      <c r="Q54" s="125"/>
      <c r="R54" s="125"/>
      <c r="S54" s="125"/>
      <c r="T54" s="125"/>
      <c r="U54" s="125"/>
      <c r="V54" s="125"/>
      <c r="W54" s="125"/>
      <c r="X54" s="125"/>
      <c r="Y54" s="125"/>
      <c r="Z54" s="125"/>
      <c r="AA54" s="125"/>
      <c r="AB54" s="125"/>
    </row>
    <row r="55" spans="1:28" ht="83.4">
      <c r="A55" s="125"/>
      <c r="B55" s="68" t="s">
        <v>360</v>
      </c>
      <c r="C55" s="83" t="s">
        <v>22</v>
      </c>
      <c r="D55" s="145" t="s">
        <v>361</v>
      </c>
      <c r="E55" s="146" t="s">
        <v>362</v>
      </c>
      <c r="F55" s="146" t="s">
        <v>363</v>
      </c>
      <c r="G55" s="58"/>
      <c r="H55" s="136" t="s">
        <v>10</v>
      </c>
      <c r="I55" s="136" t="s">
        <v>10</v>
      </c>
      <c r="J55" s="136" t="s">
        <v>10</v>
      </c>
      <c r="K55" s="135"/>
      <c r="L55" s="135"/>
      <c r="M55" s="135"/>
      <c r="N55" s="135"/>
      <c r="O55" s="135"/>
      <c r="P55" s="4"/>
      <c r="Q55" s="125"/>
      <c r="R55" s="125"/>
      <c r="S55" s="125"/>
      <c r="T55" s="125"/>
      <c r="U55" s="125"/>
      <c r="V55" s="125"/>
      <c r="W55" s="125"/>
      <c r="X55" s="125"/>
      <c r="Y55" s="125"/>
      <c r="Z55" s="125"/>
      <c r="AA55" s="125"/>
      <c r="AB55" s="125"/>
    </row>
    <row r="56" spans="1:28" ht="55.8">
      <c r="A56" s="125"/>
      <c r="B56" s="68" t="s">
        <v>364</v>
      </c>
      <c r="C56" s="83" t="s">
        <v>22</v>
      </c>
      <c r="D56" s="145" t="s">
        <v>365</v>
      </c>
      <c r="E56" s="146" t="s">
        <v>366</v>
      </c>
      <c r="F56" s="146" t="s">
        <v>367</v>
      </c>
      <c r="G56" s="58"/>
      <c r="H56" s="136" t="s">
        <v>10</v>
      </c>
      <c r="I56" s="136" t="s">
        <v>10</v>
      </c>
      <c r="J56" s="136" t="s">
        <v>10</v>
      </c>
      <c r="K56" s="135"/>
      <c r="L56" s="135"/>
      <c r="M56" s="135"/>
      <c r="N56" s="135"/>
      <c r="O56" s="135"/>
      <c r="P56" s="4"/>
      <c r="Q56" s="125"/>
      <c r="R56" s="125"/>
      <c r="S56" s="125"/>
      <c r="T56" s="125"/>
      <c r="U56" s="125"/>
      <c r="V56" s="125"/>
      <c r="W56" s="125"/>
      <c r="X56" s="125"/>
      <c r="Y56" s="125"/>
      <c r="Z56" s="125"/>
      <c r="AA56" s="125"/>
      <c r="AB56" s="125"/>
    </row>
    <row r="57" spans="1:28" ht="69.599999999999994">
      <c r="A57" s="125"/>
      <c r="B57" s="68" t="s">
        <v>368</v>
      </c>
      <c r="C57" s="83" t="s">
        <v>22</v>
      </c>
      <c r="D57" s="145" t="s">
        <v>369</v>
      </c>
      <c r="E57" s="146" t="s">
        <v>370</v>
      </c>
      <c r="F57" s="146" t="s">
        <v>371</v>
      </c>
      <c r="G57" s="58"/>
      <c r="H57" s="136" t="s">
        <v>10</v>
      </c>
      <c r="I57" s="136" t="s">
        <v>10</v>
      </c>
      <c r="J57" s="136" t="s">
        <v>10</v>
      </c>
      <c r="K57" s="135"/>
      <c r="L57" s="135"/>
      <c r="M57" s="135"/>
      <c r="N57" s="135"/>
      <c r="O57" s="135"/>
      <c r="P57" s="4"/>
      <c r="Q57" s="125"/>
      <c r="R57" s="125"/>
      <c r="S57" s="125"/>
      <c r="T57" s="125"/>
      <c r="U57" s="125"/>
      <c r="V57" s="125"/>
      <c r="W57" s="125"/>
      <c r="X57" s="125"/>
      <c r="Y57" s="125"/>
      <c r="Z57" s="125"/>
      <c r="AA57" s="125"/>
      <c r="AB57" s="125"/>
    </row>
    <row r="58" spans="1:28" ht="55.8">
      <c r="A58" s="125"/>
      <c r="B58" s="68" t="s">
        <v>372</v>
      </c>
      <c r="C58" s="83" t="s">
        <v>22</v>
      </c>
      <c r="D58" s="145" t="s">
        <v>373</v>
      </c>
      <c r="E58" s="146" t="s">
        <v>374</v>
      </c>
      <c r="F58" s="146" t="s">
        <v>375</v>
      </c>
      <c r="G58" s="58"/>
      <c r="H58" s="136" t="s">
        <v>10</v>
      </c>
      <c r="I58" s="136" t="s">
        <v>10</v>
      </c>
      <c r="J58" s="136" t="s">
        <v>10</v>
      </c>
      <c r="K58" s="135"/>
      <c r="L58" s="135"/>
      <c r="M58" s="135"/>
      <c r="N58" s="135"/>
      <c r="O58" s="135"/>
      <c r="P58" s="4"/>
      <c r="Q58" s="125"/>
      <c r="R58" s="125"/>
      <c r="S58" s="125"/>
      <c r="T58" s="125"/>
      <c r="U58" s="125"/>
      <c r="V58" s="125"/>
      <c r="W58" s="125"/>
      <c r="X58" s="125"/>
      <c r="Y58" s="125"/>
      <c r="Z58" s="125"/>
      <c r="AA58" s="125"/>
      <c r="AB58" s="125"/>
    </row>
    <row r="59" spans="1:28" ht="69.599999999999994">
      <c r="A59" s="125"/>
      <c r="B59" s="68" t="s">
        <v>376</v>
      </c>
      <c r="C59" s="83" t="s">
        <v>22</v>
      </c>
      <c r="D59" s="145" t="s">
        <v>377</v>
      </c>
      <c r="E59" s="146" t="s">
        <v>378</v>
      </c>
      <c r="F59" s="146" t="s">
        <v>379</v>
      </c>
      <c r="G59" s="58"/>
      <c r="H59" s="136" t="s">
        <v>10</v>
      </c>
      <c r="I59" s="136" t="s">
        <v>10</v>
      </c>
      <c r="J59" s="136" t="s">
        <v>10</v>
      </c>
      <c r="K59" s="135"/>
      <c r="L59" s="135"/>
      <c r="M59" s="135"/>
      <c r="N59" s="135"/>
      <c r="O59" s="135"/>
      <c r="P59" s="4"/>
      <c r="Q59" s="125"/>
      <c r="R59" s="125"/>
      <c r="S59" s="125"/>
      <c r="T59" s="125"/>
      <c r="U59" s="125"/>
      <c r="V59" s="125"/>
      <c r="W59" s="125"/>
      <c r="X59" s="125"/>
      <c r="Y59" s="125"/>
      <c r="Z59" s="125"/>
      <c r="AA59" s="125"/>
      <c r="AB59" s="125"/>
    </row>
    <row r="60" spans="1:28" ht="42">
      <c r="A60" s="125"/>
      <c r="B60" s="68" t="s">
        <v>380</v>
      </c>
      <c r="C60" s="83" t="s">
        <v>22</v>
      </c>
      <c r="D60" s="145" t="s">
        <v>381</v>
      </c>
      <c r="E60" s="146" t="s">
        <v>382</v>
      </c>
      <c r="F60" s="146" t="s">
        <v>383</v>
      </c>
      <c r="G60" s="58"/>
      <c r="H60" s="136" t="s">
        <v>10</v>
      </c>
      <c r="I60" s="136" t="s">
        <v>10</v>
      </c>
      <c r="J60" s="136" t="s">
        <v>10</v>
      </c>
      <c r="K60" s="135"/>
      <c r="L60" s="135"/>
      <c r="M60" s="135"/>
      <c r="N60" s="135"/>
      <c r="O60" s="135"/>
      <c r="P60" s="4"/>
      <c r="Q60" s="125"/>
      <c r="R60" s="125"/>
      <c r="S60" s="125"/>
      <c r="T60" s="125"/>
      <c r="U60" s="125"/>
      <c r="V60" s="125"/>
      <c r="W60" s="125"/>
      <c r="X60" s="125"/>
      <c r="Y60" s="125"/>
      <c r="Z60" s="125"/>
      <c r="AA60" s="125"/>
      <c r="AB60" s="125"/>
    </row>
    <row r="61" spans="1:28" ht="83.4">
      <c r="A61" s="125"/>
      <c r="B61" s="68" t="s">
        <v>384</v>
      </c>
      <c r="C61" s="83" t="s">
        <v>22</v>
      </c>
      <c r="D61" s="145" t="s">
        <v>385</v>
      </c>
      <c r="E61" s="146" t="s">
        <v>386</v>
      </c>
      <c r="F61" s="146" t="s">
        <v>387</v>
      </c>
      <c r="G61" s="58"/>
      <c r="H61" s="136" t="s">
        <v>10</v>
      </c>
      <c r="I61" s="136" t="s">
        <v>10</v>
      </c>
      <c r="J61" s="136" t="s">
        <v>10</v>
      </c>
      <c r="K61" s="135"/>
      <c r="L61" s="135"/>
      <c r="M61" s="135"/>
      <c r="N61" s="135"/>
      <c r="O61" s="135"/>
      <c r="P61" s="4"/>
      <c r="Q61" s="125"/>
      <c r="R61" s="125"/>
      <c r="S61" s="125"/>
      <c r="T61" s="125"/>
      <c r="U61" s="125"/>
      <c r="V61" s="125"/>
      <c r="W61" s="125"/>
      <c r="X61" s="125"/>
      <c r="Y61" s="125"/>
      <c r="Z61" s="125"/>
      <c r="AA61" s="125"/>
      <c r="AB61" s="125"/>
    </row>
    <row r="62" spans="1:28" ht="55.8">
      <c r="A62" s="125"/>
      <c r="B62" s="68" t="s">
        <v>388</v>
      </c>
      <c r="C62" s="83" t="s">
        <v>22</v>
      </c>
      <c r="D62" s="145" t="s">
        <v>389</v>
      </c>
      <c r="E62" s="146" t="s">
        <v>390</v>
      </c>
      <c r="F62" s="146" t="s">
        <v>391</v>
      </c>
      <c r="G62" s="58"/>
      <c r="H62" s="136" t="s">
        <v>10</v>
      </c>
      <c r="I62" s="136" t="s">
        <v>10</v>
      </c>
      <c r="J62" s="136" t="s">
        <v>10</v>
      </c>
      <c r="K62" s="135"/>
      <c r="L62" s="135"/>
      <c r="M62" s="135"/>
      <c r="N62" s="135"/>
      <c r="O62" s="135"/>
      <c r="P62" s="4"/>
      <c r="Q62" s="125"/>
      <c r="R62" s="125"/>
      <c r="S62" s="125"/>
      <c r="T62" s="125"/>
      <c r="U62" s="125"/>
      <c r="V62" s="125"/>
      <c r="W62" s="125"/>
      <c r="X62" s="125"/>
      <c r="Y62" s="125"/>
      <c r="Z62" s="125"/>
      <c r="AA62" s="125"/>
      <c r="AB62" s="125"/>
    </row>
    <row r="63" spans="1:28" ht="42">
      <c r="A63" s="125"/>
      <c r="B63" s="68" t="s">
        <v>392</v>
      </c>
      <c r="C63" s="83" t="s">
        <v>22</v>
      </c>
      <c r="D63" s="145" t="s">
        <v>393</v>
      </c>
      <c r="E63" s="146" t="s">
        <v>394</v>
      </c>
      <c r="F63" s="146" t="s">
        <v>395</v>
      </c>
      <c r="G63" s="58"/>
      <c r="H63" s="136" t="s">
        <v>10</v>
      </c>
      <c r="I63" s="136" t="s">
        <v>10</v>
      </c>
      <c r="J63" s="136" t="s">
        <v>10</v>
      </c>
      <c r="K63" s="135"/>
      <c r="L63" s="135"/>
      <c r="M63" s="135"/>
      <c r="N63" s="135"/>
      <c r="O63" s="135"/>
      <c r="P63" s="4"/>
      <c r="Q63" s="125"/>
      <c r="R63" s="125"/>
      <c r="S63" s="125"/>
      <c r="T63" s="125"/>
      <c r="U63" s="125"/>
      <c r="V63" s="125"/>
      <c r="W63" s="125"/>
      <c r="X63" s="125"/>
      <c r="Y63" s="125"/>
      <c r="Z63" s="125"/>
      <c r="AA63" s="125"/>
      <c r="AB63" s="125"/>
    </row>
    <row r="64" spans="1:28" ht="42">
      <c r="A64" s="125"/>
      <c r="B64" s="68" t="s">
        <v>396</v>
      </c>
      <c r="C64" s="83" t="s">
        <v>22</v>
      </c>
      <c r="D64" s="145" t="s">
        <v>397</v>
      </c>
      <c r="E64" s="146" t="s">
        <v>398</v>
      </c>
      <c r="F64" s="146" t="s">
        <v>399</v>
      </c>
      <c r="G64" s="58"/>
      <c r="H64" s="136" t="s">
        <v>10</v>
      </c>
      <c r="I64" s="136" t="s">
        <v>10</v>
      </c>
      <c r="J64" s="136" t="s">
        <v>10</v>
      </c>
      <c r="K64" s="135"/>
      <c r="L64" s="135"/>
      <c r="M64" s="135"/>
      <c r="N64" s="135"/>
      <c r="O64" s="135"/>
      <c r="P64" s="4"/>
      <c r="Q64" s="125"/>
      <c r="R64" s="125"/>
      <c r="S64" s="125"/>
      <c r="T64" s="125"/>
      <c r="U64" s="125"/>
      <c r="V64" s="125"/>
      <c r="W64" s="125"/>
      <c r="X64" s="125"/>
      <c r="Y64" s="125"/>
      <c r="Z64" s="125"/>
      <c r="AA64" s="125"/>
      <c r="AB64" s="125"/>
    </row>
    <row r="65" spans="1:28" ht="42">
      <c r="A65" s="125"/>
      <c r="B65" s="68" t="s">
        <v>400</v>
      </c>
      <c r="C65" s="83" t="s">
        <v>22</v>
      </c>
      <c r="D65" s="145" t="s">
        <v>401</v>
      </c>
      <c r="E65" s="146" t="s">
        <v>402</v>
      </c>
      <c r="F65" s="146" t="s">
        <v>403</v>
      </c>
      <c r="G65" s="58"/>
      <c r="H65" s="136" t="s">
        <v>10</v>
      </c>
      <c r="I65" s="136" t="s">
        <v>10</v>
      </c>
      <c r="J65" s="136" t="s">
        <v>10</v>
      </c>
      <c r="K65" s="135"/>
      <c r="L65" s="135"/>
      <c r="M65" s="135"/>
      <c r="N65" s="135"/>
      <c r="O65" s="135"/>
      <c r="P65" s="4"/>
      <c r="Q65" s="125"/>
      <c r="R65" s="125"/>
      <c r="S65" s="125"/>
      <c r="T65" s="125"/>
      <c r="U65" s="125"/>
      <c r="V65" s="125"/>
      <c r="W65" s="125"/>
      <c r="X65" s="125"/>
      <c r="Y65" s="125"/>
      <c r="Z65" s="125"/>
      <c r="AA65" s="125"/>
      <c r="AB65" s="125"/>
    </row>
    <row r="66" spans="1:28" ht="42">
      <c r="A66" s="125"/>
      <c r="B66" s="68" t="s">
        <v>404</v>
      </c>
      <c r="C66" s="83" t="s">
        <v>22</v>
      </c>
      <c r="D66" s="145" t="s">
        <v>405</v>
      </c>
      <c r="E66" s="146" t="s">
        <v>406</v>
      </c>
      <c r="F66" s="146" t="s">
        <v>407</v>
      </c>
      <c r="G66" s="58"/>
      <c r="H66" s="136" t="s">
        <v>10</v>
      </c>
      <c r="I66" s="136" t="s">
        <v>10</v>
      </c>
      <c r="J66" s="136" t="s">
        <v>10</v>
      </c>
      <c r="K66" s="135"/>
      <c r="L66" s="135"/>
      <c r="M66" s="135"/>
      <c r="N66" s="135"/>
      <c r="O66" s="135"/>
      <c r="P66" s="4"/>
      <c r="Q66" s="125"/>
      <c r="R66" s="125"/>
      <c r="S66" s="125"/>
      <c r="T66" s="125"/>
      <c r="U66" s="125"/>
      <c r="V66" s="125"/>
      <c r="W66" s="125"/>
      <c r="X66" s="125"/>
      <c r="Y66" s="125"/>
      <c r="Z66" s="125"/>
      <c r="AA66" s="125"/>
      <c r="AB66" s="125"/>
    </row>
    <row r="67" spans="1:28" ht="55.8">
      <c r="A67" s="125"/>
      <c r="B67" s="68" t="s">
        <v>408</v>
      </c>
      <c r="C67" s="83" t="s">
        <v>22</v>
      </c>
      <c r="D67" s="145" t="s">
        <v>409</v>
      </c>
      <c r="E67" s="146" t="s">
        <v>410</v>
      </c>
      <c r="F67" s="146" t="s">
        <v>411</v>
      </c>
      <c r="G67" s="58"/>
      <c r="H67" s="147" t="s">
        <v>10</v>
      </c>
      <c r="I67" s="147" t="s">
        <v>10</v>
      </c>
      <c r="J67" s="147" t="s">
        <v>10</v>
      </c>
      <c r="K67" s="135"/>
      <c r="L67" s="135"/>
      <c r="M67" s="135"/>
      <c r="N67" s="135"/>
      <c r="O67" s="135"/>
      <c r="P67" s="4"/>
      <c r="Q67" s="125"/>
      <c r="R67" s="125"/>
      <c r="S67" s="125"/>
      <c r="T67" s="125"/>
      <c r="U67" s="125"/>
      <c r="V67" s="125"/>
      <c r="W67" s="125"/>
      <c r="X67" s="125"/>
      <c r="Y67" s="125"/>
      <c r="Z67" s="125"/>
      <c r="AA67" s="125"/>
      <c r="AB67" s="125"/>
    </row>
    <row r="68" spans="1:28" ht="42">
      <c r="A68" s="125"/>
      <c r="B68" s="68" t="s">
        <v>412</v>
      </c>
      <c r="C68" s="83" t="s">
        <v>22</v>
      </c>
      <c r="D68" s="145" t="s">
        <v>413</v>
      </c>
      <c r="E68" s="146" t="s">
        <v>414</v>
      </c>
      <c r="F68" s="146" t="s">
        <v>415</v>
      </c>
      <c r="G68" s="58"/>
      <c r="H68" s="147" t="s">
        <v>10</v>
      </c>
      <c r="I68" s="147" t="s">
        <v>10</v>
      </c>
      <c r="J68" s="147" t="s">
        <v>10</v>
      </c>
      <c r="K68" s="135"/>
      <c r="L68" s="135"/>
      <c r="M68" s="135"/>
      <c r="N68" s="135"/>
      <c r="O68" s="135"/>
      <c r="P68" s="4"/>
      <c r="Q68" s="125"/>
      <c r="R68" s="125"/>
      <c r="S68" s="125"/>
      <c r="T68" s="125"/>
      <c r="U68" s="125"/>
      <c r="V68" s="125"/>
      <c r="W68" s="125"/>
      <c r="X68" s="125"/>
      <c r="Y68" s="125"/>
      <c r="Z68" s="125"/>
      <c r="AA68" s="125"/>
      <c r="AB68" s="125"/>
    </row>
    <row r="69" spans="1:28" ht="42">
      <c r="A69" s="125"/>
      <c r="B69" s="68" t="s">
        <v>416</v>
      </c>
      <c r="C69" s="83"/>
      <c r="D69" s="145" t="s">
        <v>417</v>
      </c>
      <c r="E69" s="146" t="s">
        <v>418</v>
      </c>
      <c r="F69" s="146" t="s">
        <v>419</v>
      </c>
      <c r="G69" s="58"/>
      <c r="H69" s="147" t="s">
        <v>10</v>
      </c>
      <c r="I69" s="147" t="s">
        <v>10</v>
      </c>
      <c r="J69" s="147" t="s">
        <v>10</v>
      </c>
      <c r="K69" s="135"/>
      <c r="L69" s="135"/>
      <c r="M69" s="135"/>
      <c r="N69" s="135"/>
      <c r="O69" s="135"/>
      <c r="P69" s="4"/>
      <c r="Q69" s="125"/>
      <c r="R69" s="125"/>
      <c r="S69" s="125"/>
      <c r="T69" s="125"/>
      <c r="U69" s="125"/>
      <c r="V69" s="125"/>
      <c r="W69" s="125"/>
      <c r="X69" s="125"/>
      <c r="Y69" s="125"/>
      <c r="Z69" s="125"/>
      <c r="AA69" s="125"/>
      <c r="AB69" s="125"/>
    </row>
    <row r="70" spans="1:28" ht="55.8">
      <c r="A70" s="125"/>
      <c r="B70" s="68" t="s">
        <v>420</v>
      </c>
      <c r="C70" s="83" t="s">
        <v>22</v>
      </c>
      <c r="D70" s="145" t="s">
        <v>421</v>
      </c>
      <c r="E70" s="146" t="s">
        <v>422</v>
      </c>
      <c r="F70" s="146" t="s">
        <v>423</v>
      </c>
      <c r="G70" s="58"/>
      <c r="H70" s="147" t="s">
        <v>10</v>
      </c>
      <c r="I70" s="147" t="s">
        <v>10</v>
      </c>
      <c r="J70" s="147" t="s">
        <v>10</v>
      </c>
      <c r="K70" s="135"/>
      <c r="L70" s="135"/>
      <c r="M70" s="135"/>
      <c r="N70" s="135"/>
      <c r="O70" s="135"/>
      <c r="P70" s="4"/>
      <c r="Q70" s="125"/>
      <c r="R70" s="125"/>
      <c r="S70" s="125"/>
      <c r="T70" s="125"/>
      <c r="U70" s="125"/>
      <c r="V70" s="125"/>
      <c r="W70" s="125"/>
      <c r="X70" s="125"/>
      <c r="Y70" s="125"/>
      <c r="Z70" s="125"/>
      <c r="AA70" s="125"/>
      <c r="AB70" s="125"/>
    </row>
    <row r="71" spans="1:28" ht="69.599999999999994">
      <c r="A71" s="125"/>
      <c r="B71" s="68" t="s">
        <v>424</v>
      </c>
      <c r="C71" s="83" t="s">
        <v>22</v>
      </c>
      <c r="D71" s="145" t="s">
        <v>425</v>
      </c>
      <c r="E71" s="146" t="s">
        <v>426</v>
      </c>
      <c r="F71" s="146" t="s">
        <v>427</v>
      </c>
      <c r="G71" s="58"/>
      <c r="H71" s="147" t="s">
        <v>10</v>
      </c>
      <c r="I71" s="147" t="s">
        <v>10</v>
      </c>
      <c r="J71" s="147" t="s">
        <v>10</v>
      </c>
      <c r="K71" s="135"/>
      <c r="L71" s="135"/>
      <c r="M71" s="135"/>
      <c r="N71" s="135"/>
      <c r="O71" s="135"/>
      <c r="P71" s="4"/>
      <c r="Q71" s="125"/>
      <c r="R71" s="125"/>
      <c r="S71" s="125"/>
      <c r="T71" s="125"/>
      <c r="U71" s="125"/>
      <c r="V71" s="125"/>
      <c r="W71" s="125"/>
      <c r="X71" s="125"/>
      <c r="Y71" s="125"/>
      <c r="Z71" s="125"/>
      <c r="AA71" s="125"/>
      <c r="AB71" s="125"/>
    </row>
    <row r="72" spans="1:28" ht="14.4">
      <c r="A72" s="125"/>
      <c r="B72" s="68"/>
      <c r="C72" s="83"/>
      <c r="D72" s="145"/>
      <c r="E72" s="146"/>
      <c r="F72" s="146"/>
      <c r="G72" s="58"/>
      <c r="H72" s="136"/>
      <c r="I72" s="136"/>
      <c r="J72" s="136"/>
      <c r="K72" s="135"/>
      <c r="L72" s="135"/>
      <c r="M72" s="135"/>
      <c r="N72" s="135"/>
      <c r="O72" s="135"/>
      <c r="P72" s="4"/>
      <c r="Q72" s="125"/>
      <c r="R72" s="125"/>
      <c r="S72" s="125"/>
      <c r="T72" s="125"/>
      <c r="U72" s="125"/>
      <c r="V72" s="125"/>
      <c r="W72" s="125"/>
      <c r="X72" s="125"/>
      <c r="Y72" s="125"/>
      <c r="Z72" s="125"/>
      <c r="AA72" s="125"/>
      <c r="AB72" s="125"/>
    </row>
    <row r="73" spans="1:28" ht="14.4">
      <c r="A73" s="125"/>
      <c r="B73" s="68"/>
      <c r="C73" s="83"/>
      <c r="D73" s="145"/>
      <c r="E73" s="146"/>
      <c r="F73" s="146"/>
      <c r="G73" s="58"/>
      <c r="H73" s="136"/>
      <c r="I73" s="136"/>
      <c r="J73" s="136"/>
      <c r="K73" s="135"/>
      <c r="L73" s="135"/>
      <c r="M73" s="135"/>
      <c r="N73" s="135"/>
      <c r="O73" s="135"/>
      <c r="P73" s="4"/>
      <c r="Q73" s="125"/>
      <c r="R73" s="125"/>
      <c r="S73" s="125"/>
      <c r="T73" s="125"/>
      <c r="U73" s="125"/>
      <c r="V73" s="125"/>
      <c r="W73" s="125"/>
      <c r="X73" s="125"/>
      <c r="Y73" s="125"/>
      <c r="Z73" s="125"/>
      <c r="AA73" s="125"/>
      <c r="AB73" s="125"/>
    </row>
    <row r="74" spans="1:28" ht="14.4">
      <c r="A74" s="125"/>
      <c r="B74" s="68"/>
      <c r="C74" s="83"/>
      <c r="D74" s="145"/>
      <c r="E74" s="146"/>
      <c r="F74" s="146"/>
      <c r="G74" s="58"/>
      <c r="H74" s="136" t="s">
        <v>10</v>
      </c>
      <c r="I74" s="136" t="s">
        <v>10</v>
      </c>
      <c r="J74" s="136" t="s">
        <v>10</v>
      </c>
      <c r="K74" s="135"/>
      <c r="L74" s="135"/>
      <c r="M74" s="135"/>
      <c r="N74" s="135"/>
      <c r="O74" s="135"/>
      <c r="P74" s="4"/>
      <c r="Q74" s="125"/>
      <c r="R74" s="125"/>
      <c r="S74" s="125"/>
      <c r="T74" s="125"/>
      <c r="U74" s="125"/>
      <c r="V74" s="125"/>
      <c r="W74" s="125"/>
      <c r="X74" s="125"/>
      <c r="Y74" s="125"/>
      <c r="Z74" s="125"/>
      <c r="AA74" s="125"/>
      <c r="AB74" s="125"/>
    </row>
    <row r="75" spans="1:28" ht="14.4">
      <c r="A75" s="125"/>
      <c r="B75" s="68"/>
      <c r="C75" s="83"/>
      <c r="D75" s="145"/>
      <c r="E75" s="146"/>
      <c r="F75" s="146"/>
      <c r="G75" s="58"/>
      <c r="H75" s="136"/>
      <c r="I75" s="136"/>
      <c r="J75" s="136"/>
      <c r="K75" s="135"/>
      <c r="L75" s="135"/>
      <c r="M75" s="135"/>
      <c r="N75" s="135"/>
      <c r="O75" s="135"/>
      <c r="P75" s="4"/>
      <c r="Q75" s="125"/>
      <c r="R75" s="125"/>
      <c r="S75" s="125"/>
      <c r="T75" s="125"/>
      <c r="U75" s="125"/>
      <c r="V75" s="125"/>
      <c r="W75" s="125"/>
      <c r="X75" s="125"/>
      <c r="Y75" s="125"/>
      <c r="Z75" s="125"/>
      <c r="AA75" s="125"/>
      <c r="AB75" s="125"/>
    </row>
    <row r="76" spans="1:28" ht="14.4">
      <c r="A76" s="125"/>
      <c r="B76" s="68"/>
      <c r="C76" s="83"/>
      <c r="D76" s="145"/>
      <c r="E76" s="146"/>
      <c r="F76" s="146"/>
      <c r="G76" s="58"/>
      <c r="H76" s="136"/>
      <c r="I76" s="136"/>
      <c r="J76" s="136"/>
      <c r="K76" s="135"/>
      <c r="L76" s="135"/>
      <c r="M76" s="135"/>
      <c r="N76" s="135"/>
      <c r="O76" s="135"/>
      <c r="P76" s="4"/>
      <c r="Q76" s="125"/>
      <c r="R76" s="125"/>
      <c r="S76" s="125"/>
      <c r="T76" s="125"/>
      <c r="U76" s="125"/>
      <c r="V76" s="125"/>
      <c r="W76" s="125"/>
      <c r="X76" s="125"/>
      <c r="Y76" s="125"/>
      <c r="Z76" s="125"/>
      <c r="AA76" s="125"/>
      <c r="AB76" s="125"/>
    </row>
    <row r="77" spans="1:28" ht="15.75" customHeight="1">
      <c r="A77" s="125"/>
      <c r="B77" s="125"/>
      <c r="C77" s="125"/>
      <c r="D77" s="4"/>
      <c r="E77" s="125"/>
      <c r="F77" s="125"/>
      <c r="G77" s="125"/>
      <c r="H77" s="125"/>
      <c r="I77" s="125"/>
      <c r="J77" s="125"/>
      <c r="K77" s="125"/>
      <c r="L77" s="125"/>
      <c r="M77" s="125"/>
      <c r="N77" s="125"/>
      <c r="O77" s="125"/>
      <c r="P77" s="4"/>
      <c r="Q77" s="125"/>
      <c r="R77" s="125"/>
      <c r="S77" s="125"/>
      <c r="T77" s="125"/>
      <c r="U77" s="125"/>
      <c r="V77" s="125"/>
      <c r="W77" s="125"/>
      <c r="X77" s="125"/>
      <c r="Y77" s="125"/>
      <c r="Z77" s="125"/>
      <c r="AA77" s="125"/>
      <c r="AB77" s="125"/>
    </row>
    <row r="78" spans="1:28" ht="15.75" customHeight="1">
      <c r="A78" s="125"/>
      <c r="B78" s="125"/>
      <c r="C78" s="125"/>
      <c r="D78" s="4"/>
      <c r="E78" s="125"/>
      <c r="F78" s="125"/>
      <c r="G78" s="125"/>
      <c r="H78" s="125"/>
      <c r="I78" s="125"/>
      <c r="J78" s="125"/>
      <c r="K78" s="125"/>
      <c r="L78" s="125"/>
      <c r="M78" s="125"/>
      <c r="N78" s="125"/>
      <c r="O78" s="125"/>
      <c r="P78" s="4"/>
      <c r="Q78" s="125"/>
      <c r="R78" s="125"/>
      <c r="S78" s="125"/>
      <c r="T78" s="125"/>
      <c r="U78" s="125"/>
      <c r="V78" s="125"/>
      <c r="W78" s="125"/>
      <c r="X78" s="125"/>
      <c r="Y78" s="125"/>
      <c r="Z78" s="125"/>
      <c r="AA78" s="125"/>
      <c r="AB78" s="125"/>
    </row>
    <row r="79" spans="1:28" ht="15.75" customHeight="1">
      <c r="A79" s="125"/>
      <c r="B79" s="58"/>
      <c r="C79" s="83" t="s">
        <v>301</v>
      </c>
      <c r="D79" s="133" t="s">
        <v>302</v>
      </c>
      <c r="E79" s="134" t="s">
        <v>303</v>
      </c>
      <c r="F79" s="134" t="s">
        <v>304</v>
      </c>
      <c r="G79" s="58"/>
      <c r="H79" s="136"/>
      <c r="I79" s="136"/>
      <c r="J79" s="136"/>
      <c r="K79" s="135"/>
      <c r="L79" s="135"/>
      <c r="M79" s="135"/>
      <c r="N79" s="135"/>
      <c r="O79" s="135"/>
      <c r="P79" s="4"/>
      <c r="Q79" s="125"/>
      <c r="R79" s="125"/>
      <c r="S79" s="125"/>
      <c r="T79" s="125"/>
      <c r="U79" s="125"/>
      <c r="V79" s="125"/>
      <c r="W79" s="125"/>
      <c r="X79" s="125"/>
      <c r="Y79" s="125"/>
      <c r="Z79" s="125"/>
      <c r="AA79" s="125"/>
      <c r="AB79" s="125"/>
    </row>
    <row r="80" spans="1:28" ht="15.75" customHeight="1">
      <c r="A80" s="125"/>
      <c r="B80" s="58"/>
      <c r="C80" s="83" t="s">
        <v>301</v>
      </c>
      <c r="D80" s="133" t="s">
        <v>305</v>
      </c>
      <c r="E80" s="134" t="s">
        <v>306</v>
      </c>
      <c r="F80" s="134" t="s">
        <v>307</v>
      </c>
      <c r="G80" s="58"/>
      <c r="H80" s="136" t="s">
        <v>10</v>
      </c>
      <c r="I80" s="136" t="s">
        <v>10</v>
      </c>
      <c r="J80" s="136" t="s">
        <v>10</v>
      </c>
      <c r="K80" s="135"/>
      <c r="L80" s="135"/>
      <c r="M80" s="135"/>
      <c r="N80" s="135"/>
      <c r="O80" s="135"/>
      <c r="P80" s="4"/>
      <c r="Q80" s="125"/>
      <c r="R80" s="125"/>
      <c r="S80" s="125"/>
      <c r="T80" s="125"/>
      <c r="U80" s="125"/>
      <c r="V80" s="125"/>
      <c r="W80" s="125"/>
      <c r="X80" s="125"/>
      <c r="Y80" s="125"/>
      <c r="Z80" s="125"/>
      <c r="AA80" s="125"/>
      <c r="AB80" s="125"/>
    </row>
    <row r="81" spans="1:28" ht="15.75" customHeight="1">
      <c r="A81" s="125"/>
      <c r="B81" s="58"/>
      <c r="C81" s="83" t="s">
        <v>301</v>
      </c>
      <c r="D81" s="133" t="s">
        <v>308</v>
      </c>
      <c r="E81" s="134" t="s">
        <v>309</v>
      </c>
      <c r="F81" s="134" t="s">
        <v>310</v>
      </c>
      <c r="G81" s="58"/>
      <c r="H81" s="136" t="s">
        <v>10</v>
      </c>
      <c r="I81" s="136" t="s">
        <v>10</v>
      </c>
      <c r="J81" s="136" t="s">
        <v>10</v>
      </c>
      <c r="K81" s="135"/>
      <c r="L81" s="135"/>
      <c r="M81" s="135"/>
      <c r="N81" s="135"/>
      <c r="O81" s="135"/>
      <c r="P81" s="4"/>
      <c r="Q81" s="125"/>
      <c r="R81" s="125"/>
      <c r="S81" s="125"/>
      <c r="T81" s="125"/>
      <c r="U81" s="125"/>
      <c r="V81" s="125"/>
      <c r="W81" s="125"/>
      <c r="X81" s="125"/>
      <c r="Y81" s="125"/>
      <c r="Z81" s="125"/>
      <c r="AA81" s="125"/>
      <c r="AB81" s="125"/>
    </row>
    <row r="82" spans="1:28" ht="15.75" customHeight="1">
      <c r="A82" s="125"/>
      <c r="B82" s="58"/>
      <c r="C82" s="94"/>
      <c r="D82" s="119"/>
      <c r="E82" s="135"/>
      <c r="F82" s="135"/>
      <c r="G82" s="58"/>
      <c r="H82" s="136"/>
      <c r="I82" s="136"/>
      <c r="J82" s="136"/>
      <c r="K82" s="135"/>
      <c r="L82" s="135"/>
      <c r="M82" s="135"/>
      <c r="N82" s="135"/>
      <c r="O82" s="135"/>
      <c r="P82" s="4"/>
      <c r="Q82" s="125"/>
      <c r="R82" s="125"/>
      <c r="S82" s="125"/>
      <c r="T82" s="125"/>
      <c r="U82" s="125"/>
      <c r="V82" s="125"/>
      <c r="W82" s="125"/>
      <c r="X82" s="125"/>
      <c r="Y82" s="125"/>
      <c r="Z82" s="125"/>
      <c r="AA82" s="125"/>
      <c r="AB82" s="125"/>
    </row>
    <row r="83" spans="1:28" ht="15.75" customHeight="1">
      <c r="A83" s="125"/>
      <c r="B83" s="58"/>
      <c r="C83" s="94"/>
      <c r="D83" s="119"/>
      <c r="E83" s="135"/>
      <c r="F83" s="135"/>
      <c r="G83" s="58"/>
      <c r="H83" s="136"/>
      <c r="I83" s="136"/>
      <c r="J83" s="136"/>
      <c r="K83" s="135"/>
      <c r="L83" s="135"/>
      <c r="M83" s="135"/>
      <c r="N83" s="135"/>
      <c r="O83" s="135"/>
      <c r="P83" s="4"/>
      <c r="Q83" s="125"/>
      <c r="R83" s="125"/>
      <c r="S83" s="125"/>
      <c r="T83" s="125"/>
      <c r="U83" s="125"/>
      <c r="V83" s="125"/>
      <c r="W83" s="125"/>
      <c r="X83" s="125"/>
      <c r="Y83" s="125"/>
      <c r="Z83" s="125"/>
      <c r="AA83" s="125"/>
      <c r="AB83" s="125"/>
    </row>
    <row r="84" spans="1:28" ht="15.75" customHeight="1">
      <c r="A84" s="125"/>
      <c r="B84" s="58" t="s">
        <v>311</v>
      </c>
      <c r="C84" s="137" t="s">
        <v>312</v>
      </c>
      <c r="D84" s="119" t="s">
        <v>313</v>
      </c>
      <c r="E84" s="135" t="s">
        <v>428</v>
      </c>
      <c r="F84" s="135" t="s">
        <v>315</v>
      </c>
      <c r="G84" s="58"/>
      <c r="H84" s="136" t="s">
        <v>10</v>
      </c>
      <c r="I84" s="136" t="s">
        <v>10</v>
      </c>
      <c r="J84" s="136" t="s">
        <v>10</v>
      </c>
      <c r="K84" s="135"/>
      <c r="L84" s="135"/>
      <c r="M84" s="135"/>
      <c r="N84" s="135"/>
      <c r="O84" s="135"/>
      <c r="P84" s="4"/>
      <c r="Q84" s="125"/>
      <c r="R84" s="125"/>
      <c r="S84" s="125"/>
      <c r="T84" s="125"/>
      <c r="U84" s="125"/>
      <c r="V84" s="125"/>
      <c r="W84" s="125"/>
      <c r="X84" s="125"/>
      <c r="Y84" s="125"/>
      <c r="Z84" s="125"/>
      <c r="AA84" s="125"/>
      <c r="AB84" s="125"/>
    </row>
    <row r="85" spans="1:28" ht="15.75" customHeight="1">
      <c r="A85" s="125"/>
      <c r="B85" s="58" t="s">
        <v>316</v>
      </c>
      <c r="C85" s="137" t="s">
        <v>312</v>
      </c>
      <c r="D85" s="119" t="s">
        <v>313</v>
      </c>
      <c r="E85" s="135" t="s">
        <v>429</v>
      </c>
      <c r="F85" s="135" t="s">
        <v>318</v>
      </c>
      <c r="G85" s="58"/>
      <c r="H85" s="136" t="s">
        <v>10</v>
      </c>
      <c r="I85" s="136" t="s">
        <v>10</v>
      </c>
      <c r="J85" s="136" t="s">
        <v>10</v>
      </c>
      <c r="K85" s="135"/>
      <c r="L85" s="135"/>
      <c r="M85" s="135"/>
      <c r="N85" s="135"/>
      <c r="O85" s="135"/>
      <c r="P85" s="4"/>
      <c r="Q85" s="125"/>
      <c r="R85" s="125"/>
      <c r="S85" s="125"/>
      <c r="T85" s="125"/>
      <c r="U85" s="125"/>
      <c r="V85" s="125"/>
      <c r="W85" s="125"/>
      <c r="X85" s="125"/>
      <c r="Y85" s="125"/>
      <c r="Z85" s="125"/>
      <c r="AA85" s="125"/>
      <c r="AB85" s="125"/>
    </row>
    <row r="86" spans="1:28" ht="15.75" customHeight="1">
      <c r="A86" s="125"/>
      <c r="B86" s="58" t="s">
        <v>319</v>
      </c>
      <c r="C86" s="137" t="s">
        <v>312</v>
      </c>
      <c r="D86" s="138" t="s">
        <v>320</v>
      </c>
      <c r="E86" s="41" t="s">
        <v>321</v>
      </c>
      <c r="F86" s="41" t="s">
        <v>322</v>
      </c>
      <c r="G86" s="58"/>
      <c r="H86" s="136" t="s">
        <v>10</v>
      </c>
      <c r="I86" s="136" t="s">
        <v>10</v>
      </c>
      <c r="J86" s="136" t="s">
        <v>10</v>
      </c>
      <c r="K86" s="135"/>
      <c r="L86" s="135"/>
      <c r="M86" s="135"/>
      <c r="N86" s="135"/>
      <c r="O86" s="135"/>
      <c r="P86" s="4"/>
      <c r="Q86" s="125"/>
      <c r="R86" s="125"/>
      <c r="S86" s="125"/>
      <c r="T86" s="125"/>
      <c r="U86" s="125"/>
      <c r="V86" s="125"/>
      <c r="W86" s="125"/>
      <c r="X86" s="125"/>
      <c r="Y86" s="125"/>
      <c r="Z86" s="125"/>
      <c r="AA86" s="125"/>
      <c r="AB86" s="125"/>
    </row>
    <row r="87" spans="1:28" ht="15.75" customHeight="1">
      <c r="A87" s="125"/>
      <c r="B87" s="58" t="s">
        <v>323</v>
      </c>
      <c r="C87" s="137" t="s">
        <v>312</v>
      </c>
      <c r="D87" s="138" t="s">
        <v>324</v>
      </c>
      <c r="E87" s="135" t="s">
        <v>325</v>
      </c>
      <c r="F87" s="41" t="s">
        <v>326</v>
      </c>
      <c r="G87" s="58"/>
      <c r="H87" s="136" t="s">
        <v>10</v>
      </c>
      <c r="I87" s="136" t="s">
        <v>10</v>
      </c>
      <c r="J87" s="136" t="s">
        <v>10</v>
      </c>
      <c r="K87" s="135"/>
      <c r="L87" s="135"/>
      <c r="M87" s="135"/>
      <c r="N87" s="135"/>
      <c r="O87" s="135"/>
      <c r="P87" s="4"/>
      <c r="Q87" s="125"/>
      <c r="R87" s="125"/>
      <c r="S87" s="125"/>
      <c r="T87" s="125"/>
      <c r="U87" s="125"/>
      <c r="V87" s="125"/>
      <c r="W87" s="125"/>
      <c r="X87" s="125"/>
      <c r="Y87" s="125"/>
      <c r="Z87" s="125"/>
      <c r="AA87" s="125"/>
      <c r="AB87" s="125"/>
    </row>
    <row r="88" spans="1:28" ht="15.75" customHeight="1">
      <c r="A88" s="125"/>
      <c r="B88" s="58" t="s">
        <v>327</v>
      </c>
      <c r="C88" s="137" t="s">
        <v>312</v>
      </c>
      <c r="D88" s="138" t="s">
        <v>324</v>
      </c>
      <c r="E88" s="41" t="s">
        <v>328</v>
      </c>
      <c r="F88" s="123" t="s">
        <v>329</v>
      </c>
      <c r="G88" s="58"/>
      <c r="H88" s="136" t="s">
        <v>10</v>
      </c>
      <c r="I88" s="136" t="s">
        <v>10</v>
      </c>
      <c r="J88" s="136" t="s">
        <v>10</v>
      </c>
      <c r="K88" s="135"/>
      <c r="L88" s="135"/>
      <c r="M88" s="135"/>
      <c r="N88" s="135"/>
      <c r="O88" s="135"/>
      <c r="P88" s="4"/>
      <c r="Q88" s="125"/>
      <c r="R88" s="125"/>
      <c r="S88" s="125"/>
      <c r="T88" s="125"/>
      <c r="U88" s="125"/>
      <c r="V88" s="125"/>
      <c r="W88" s="125"/>
      <c r="X88" s="125"/>
      <c r="Y88" s="125"/>
      <c r="Z88" s="125"/>
      <c r="AA88" s="125"/>
      <c r="AB88" s="125"/>
    </row>
    <row r="89" spans="1:28" ht="15.75" customHeight="1">
      <c r="A89" s="125"/>
      <c r="B89" s="58" t="s">
        <v>330</v>
      </c>
      <c r="C89" s="137" t="s">
        <v>312</v>
      </c>
      <c r="D89" s="138" t="s">
        <v>331</v>
      </c>
      <c r="E89" s="135" t="s">
        <v>332</v>
      </c>
      <c r="F89" s="41" t="s">
        <v>333</v>
      </c>
      <c r="G89" s="58"/>
      <c r="H89" s="136" t="s">
        <v>10</v>
      </c>
      <c r="I89" s="136" t="s">
        <v>10</v>
      </c>
      <c r="J89" s="136" t="s">
        <v>10</v>
      </c>
      <c r="K89" s="135"/>
      <c r="L89" s="135"/>
      <c r="M89" s="135"/>
      <c r="N89" s="135"/>
      <c r="O89" s="135"/>
      <c r="P89" s="4"/>
      <c r="Q89" s="125"/>
      <c r="R89" s="125"/>
      <c r="S89" s="125"/>
      <c r="T89" s="125"/>
      <c r="U89" s="125"/>
      <c r="V89" s="125"/>
      <c r="W89" s="125"/>
      <c r="X89" s="125"/>
      <c r="Y89" s="125"/>
      <c r="Z89" s="125"/>
      <c r="AA89" s="125"/>
      <c r="AB89" s="125"/>
    </row>
    <row r="90" spans="1:28" ht="15.75" customHeight="1">
      <c r="A90" s="125"/>
      <c r="B90" s="58"/>
      <c r="C90" s="137"/>
      <c r="D90" s="138"/>
      <c r="E90" s="148" t="s">
        <v>430</v>
      </c>
      <c r="F90" s="41"/>
      <c r="G90" s="58"/>
      <c r="H90" s="136" t="s">
        <v>10</v>
      </c>
      <c r="I90" s="136" t="s">
        <v>10</v>
      </c>
      <c r="J90" s="136" t="s">
        <v>10</v>
      </c>
      <c r="K90" s="135"/>
      <c r="L90" s="135"/>
      <c r="M90" s="135"/>
      <c r="N90" s="135"/>
      <c r="O90" s="135"/>
      <c r="P90" s="4"/>
      <c r="Q90" s="125"/>
      <c r="R90" s="125"/>
      <c r="S90" s="125"/>
      <c r="T90" s="125"/>
      <c r="U90" s="125"/>
      <c r="V90" s="125"/>
      <c r="W90" s="125"/>
      <c r="X90" s="125"/>
      <c r="Y90" s="125"/>
      <c r="Z90" s="125"/>
      <c r="AA90" s="125"/>
      <c r="AB90" s="125"/>
    </row>
    <row r="91" spans="1:28" ht="15.75" customHeight="1">
      <c r="A91" s="125"/>
      <c r="B91" s="58" t="s">
        <v>431</v>
      </c>
      <c r="C91" s="94" t="s">
        <v>430</v>
      </c>
      <c r="D91" s="138" t="s">
        <v>432</v>
      </c>
      <c r="E91" s="143" t="s">
        <v>433</v>
      </c>
      <c r="F91" s="149" t="s">
        <v>434</v>
      </c>
      <c r="G91" s="58"/>
      <c r="H91" s="136" t="s">
        <v>10</v>
      </c>
      <c r="I91" s="136" t="s">
        <v>10</v>
      </c>
      <c r="J91" s="136" t="s">
        <v>10</v>
      </c>
      <c r="K91" s="135"/>
      <c r="L91" s="135"/>
      <c r="M91" s="135"/>
      <c r="N91" s="135"/>
      <c r="O91" s="135"/>
      <c r="P91" s="4"/>
      <c r="Q91" s="125"/>
      <c r="R91" s="125"/>
      <c r="S91" s="125"/>
      <c r="T91" s="125"/>
      <c r="U91" s="125"/>
      <c r="V91" s="125"/>
      <c r="W91" s="125"/>
      <c r="X91" s="125"/>
      <c r="Y91" s="125"/>
      <c r="Z91" s="125"/>
      <c r="AA91" s="125"/>
      <c r="AB91" s="125"/>
    </row>
    <row r="92" spans="1:28" ht="15.75" customHeight="1">
      <c r="A92" s="125"/>
      <c r="B92" s="58" t="s">
        <v>435</v>
      </c>
      <c r="C92" s="94" t="s">
        <v>430</v>
      </c>
      <c r="D92" s="138" t="s">
        <v>436</v>
      </c>
      <c r="E92" s="150" t="s">
        <v>437</v>
      </c>
      <c r="F92" s="135" t="s">
        <v>438</v>
      </c>
      <c r="G92" s="58"/>
      <c r="H92" s="136" t="s">
        <v>10</v>
      </c>
      <c r="I92" s="136" t="s">
        <v>10</v>
      </c>
      <c r="J92" s="136" t="s">
        <v>10</v>
      </c>
      <c r="K92" s="135"/>
      <c r="L92" s="135"/>
      <c r="M92" s="135"/>
      <c r="N92" s="135"/>
      <c r="O92" s="135"/>
      <c r="P92" s="4"/>
      <c r="Q92" s="125"/>
      <c r="R92" s="125"/>
      <c r="S92" s="125"/>
      <c r="T92" s="125"/>
      <c r="U92" s="125"/>
      <c r="V92" s="125"/>
      <c r="W92" s="125"/>
      <c r="X92" s="125"/>
      <c r="Y92" s="125"/>
      <c r="Z92" s="125"/>
      <c r="AA92" s="125"/>
      <c r="AB92" s="125"/>
    </row>
    <row r="93" spans="1:28" ht="15.75" customHeight="1">
      <c r="A93" s="125"/>
      <c r="B93" s="58" t="s">
        <v>439</v>
      </c>
      <c r="C93" s="94" t="s">
        <v>430</v>
      </c>
      <c r="D93" s="138" t="s">
        <v>440</v>
      </c>
      <c r="E93" s="143" t="s">
        <v>441</v>
      </c>
      <c r="F93" s="151" t="s">
        <v>442</v>
      </c>
      <c r="G93" s="58"/>
      <c r="H93" s="136" t="s">
        <v>10</v>
      </c>
      <c r="I93" s="136" t="s">
        <v>10</v>
      </c>
      <c r="J93" s="136" t="s">
        <v>10</v>
      </c>
      <c r="K93" s="135"/>
      <c r="L93" s="135"/>
      <c r="M93" s="135"/>
      <c r="N93" s="135"/>
      <c r="O93" s="135"/>
      <c r="P93" s="4"/>
      <c r="Q93" s="125"/>
      <c r="R93" s="125"/>
      <c r="S93" s="125"/>
      <c r="T93" s="125"/>
      <c r="U93" s="125"/>
      <c r="V93" s="125"/>
      <c r="W93" s="125"/>
      <c r="X93" s="125"/>
      <c r="Y93" s="125"/>
      <c r="Z93" s="125"/>
      <c r="AA93" s="125"/>
      <c r="AB93" s="125"/>
    </row>
    <row r="94" spans="1:28" ht="15.75" customHeight="1">
      <c r="A94" s="125"/>
      <c r="B94" s="58" t="s">
        <v>443</v>
      </c>
      <c r="C94" s="94" t="s">
        <v>430</v>
      </c>
      <c r="D94" s="138" t="s">
        <v>444</v>
      </c>
      <c r="E94" s="152" t="s">
        <v>445</v>
      </c>
      <c r="F94" s="64" t="s">
        <v>446</v>
      </c>
      <c r="G94" s="58"/>
      <c r="H94" s="136" t="s">
        <v>10</v>
      </c>
      <c r="I94" s="136" t="s">
        <v>10</v>
      </c>
      <c r="J94" s="136" t="s">
        <v>10</v>
      </c>
      <c r="K94" s="135"/>
      <c r="L94" s="135"/>
      <c r="M94" s="135"/>
      <c r="N94" s="135"/>
      <c r="O94" s="135"/>
      <c r="P94" s="4"/>
      <c r="Q94" s="125"/>
      <c r="R94" s="125"/>
      <c r="S94" s="125"/>
      <c r="T94" s="125"/>
      <c r="U94" s="125"/>
      <c r="V94" s="125"/>
      <c r="W94" s="125"/>
      <c r="X94" s="125"/>
      <c r="Y94" s="125"/>
      <c r="Z94" s="125"/>
      <c r="AA94" s="125"/>
      <c r="AB94" s="125"/>
    </row>
    <row r="95" spans="1:28" ht="15.75" customHeight="1">
      <c r="A95" s="153"/>
      <c r="B95" s="154"/>
      <c r="C95" s="94" t="s">
        <v>430</v>
      </c>
      <c r="D95" s="155" t="s">
        <v>447</v>
      </c>
      <c r="E95" s="152" t="s">
        <v>448</v>
      </c>
      <c r="F95" s="156" t="s">
        <v>449</v>
      </c>
      <c r="G95" s="154"/>
      <c r="H95" s="157"/>
      <c r="I95" s="157"/>
      <c r="J95" s="157"/>
      <c r="K95" s="158"/>
      <c r="L95" s="158"/>
      <c r="M95" s="158"/>
      <c r="N95" s="158"/>
      <c r="O95" s="158"/>
      <c r="P95" s="159"/>
      <c r="Q95" s="153"/>
      <c r="R95" s="153"/>
      <c r="S95" s="153"/>
      <c r="T95" s="153"/>
      <c r="U95" s="153"/>
      <c r="V95" s="153"/>
      <c r="W95" s="153"/>
      <c r="X95" s="153"/>
      <c r="Y95" s="153"/>
      <c r="Z95" s="153"/>
      <c r="AA95" s="153"/>
      <c r="AB95" s="153"/>
    </row>
    <row r="96" spans="1:28" ht="15.75" customHeight="1">
      <c r="A96" s="125"/>
      <c r="B96" s="58"/>
      <c r="C96" s="94" t="s">
        <v>430</v>
      </c>
      <c r="D96" s="155" t="s">
        <v>450</v>
      </c>
      <c r="E96" s="141" t="s">
        <v>451</v>
      </c>
      <c r="F96" s="142" t="s">
        <v>452</v>
      </c>
      <c r="G96" s="58"/>
      <c r="H96" s="136"/>
      <c r="I96" s="136"/>
      <c r="J96" s="136"/>
      <c r="K96" s="135"/>
      <c r="L96" s="135"/>
      <c r="M96" s="135"/>
      <c r="N96" s="135"/>
      <c r="O96" s="135"/>
      <c r="P96" s="4"/>
      <c r="Q96" s="125"/>
      <c r="R96" s="125"/>
      <c r="S96" s="125"/>
      <c r="T96" s="125"/>
      <c r="U96" s="125"/>
      <c r="V96" s="125"/>
      <c r="W96" s="125"/>
      <c r="X96" s="125"/>
      <c r="Y96" s="125"/>
      <c r="Z96" s="125"/>
      <c r="AA96" s="125"/>
      <c r="AB96" s="125"/>
    </row>
    <row r="97" spans="1:28" ht="15.75" customHeight="1">
      <c r="A97" s="125"/>
      <c r="B97" s="58"/>
      <c r="C97" s="94" t="s">
        <v>430</v>
      </c>
      <c r="D97" s="133" t="s">
        <v>340</v>
      </c>
      <c r="E97" s="141" t="s">
        <v>453</v>
      </c>
      <c r="F97" s="142" t="s">
        <v>454</v>
      </c>
      <c r="G97" s="58"/>
      <c r="H97" s="136" t="s">
        <v>10</v>
      </c>
      <c r="I97" s="136" t="s">
        <v>10</v>
      </c>
      <c r="J97" s="136" t="s">
        <v>10</v>
      </c>
      <c r="K97" s="135"/>
      <c r="L97" s="135"/>
      <c r="M97" s="135"/>
      <c r="N97" s="135"/>
      <c r="O97" s="135"/>
      <c r="P97" s="4"/>
      <c r="Q97" s="125"/>
      <c r="R97" s="125"/>
      <c r="S97" s="125"/>
      <c r="T97" s="125"/>
      <c r="U97" s="125"/>
      <c r="V97" s="125"/>
      <c r="W97" s="125"/>
      <c r="X97" s="125"/>
      <c r="Y97" s="125"/>
      <c r="Z97" s="125"/>
      <c r="AA97" s="125"/>
      <c r="AB97" s="125"/>
    </row>
    <row r="98" spans="1:28" ht="15.75" customHeight="1">
      <c r="A98" s="125"/>
      <c r="B98" s="58"/>
      <c r="C98" s="94" t="s">
        <v>430</v>
      </c>
      <c r="D98" s="133" t="s">
        <v>344</v>
      </c>
      <c r="E98" s="141" t="s">
        <v>455</v>
      </c>
      <c r="F98" s="142" t="s">
        <v>456</v>
      </c>
      <c r="G98" s="58"/>
      <c r="H98" s="136"/>
      <c r="I98" s="136"/>
      <c r="J98" s="136"/>
      <c r="K98" s="135"/>
      <c r="L98" s="135"/>
      <c r="M98" s="135"/>
      <c r="N98" s="135"/>
      <c r="O98" s="135"/>
      <c r="P98" s="4"/>
      <c r="Q98" s="125"/>
      <c r="R98" s="125"/>
      <c r="S98" s="125"/>
      <c r="T98" s="125"/>
      <c r="U98" s="125"/>
      <c r="V98" s="125"/>
      <c r="W98" s="125"/>
      <c r="X98" s="125"/>
      <c r="Y98" s="125"/>
      <c r="Z98" s="125"/>
      <c r="AA98" s="125"/>
      <c r="AB98" s="125"/>
    </row>
    <row r="99" spans="1:28" ht="15.75" customHeight="1">
      <c r="A99" s="160"/>
      <c r="B99" s="161"/>
      <c r="C99" s="94" t="s">
        <v>430</v>
      </c>
      <c r="D99" s="162" t="s">
        <v>457</v>
      </c>
      <c r="E99" s="141" t="s">
        <v>458</v>
      </c>
      <c r="F99" s="141" t="s">
        <v>459</v>
      </c>
      <c r="G99" s="161"/>
      <c r="H99" s="136" t="s">
        <v>10</v>
      </c>
      <c r="I99" s="136" t="s">
        <v>10</v>
      </c>
      <c r="J99" s="136" t="s">
        <v>10</v>
      </c>
      <c r="K99" s="163"/>
      <c r="L99" s="163"/>
      <c r="M99" s="163"/>
      <c r="N99" s="163"/>
      <c r="O99" s="163"/>
      <c r="P99" s="164"/>
      <c r="Q99" s="160"/>
      <c r="R99" s="160"/>
      <c r="S99" s="160"/>
      <c r="T99" s="160"/>
      <c r="U99" s="160"/>
      <c r="V99" s="160"/>
      <c r="W99" s="160"/>
      <c r="X99" s="160"/>
      <c r="Y99" s="160"/>
      <c r="Z99" s="160"/>
      <c r="AA99" s="160"/>
      <c r="AB99" s="160"/>
    </row>
    <row r="100" spans="1:28" ht="15.75" customHeight="1">
      <c r="A100" s="125"/>
      <c r="B100" s="58" t="s">
        <v>460</v>
      </c>
      <c r="C100" s="94" t="s">
        <v>461</v>
      </c>
      <c r="D100" s="119" t="s">
        <v>462</v>
      </c>
      <c r="E100" s="150" t="s">
        <v>463</v>
      </c>
      <c r="F100" s="150" t="s">
        <v>464</v>
      </c>
      <c r="G100" s="58"/>
      <c r="H100" s="136" t="s">
        <v>10</v>
      </c>
      <c r="I100" s="136" t="s">
        <v>10</v>
      </c>
      <c r="J100" s="136" t="s">
        <v>10</v>
      </c>
      <c r="K100" s="135"/>
      <c r="L100" s="135"/>
      <c r="M100" s="135"/>
      <c r="N100" s="135"/>
      <c r="O100" s="135"/>
      <c r="P100" s="4"/>
      <c r="Q100" s="125"/>
      <c r="R100" s="125"/>
      <c r="S100" s="125"/>
      <c r="T100" s="125"/>
      <c r="U100" s="125"/>
      <c r="V100" s="125"/>
      <c r="W100" s="125"/>
      <c r="X100" s="125"/>
      <c r="Y100" s="125"/>
      <c r="Z100" s="125"/>
      <c r="AA100" s="125"/>
      <c r="AB100" s="125"/>
    </row>
    <row r="101" spans="1:28" ht="15.75" customHeight="1">
      <c r="A101" s="125"/>
      <c r="B101" s="58" t="s">
        <v>465</v>
      </c>
      <c r="C101" s="94" t="s">
        <v>466</v>
      </c>
      <c r="D101" s="128" t="s">
        <v>467</v>
      </c>
      <c r="E101" s="150" t="s">
        <v>468</v>
      </c>
      <c r="F101" s="150" t="s">
        <v>469</v>
      </c>
      <c r="G101" s="58"/>
      <c r="H101" s="136" t="s">
        <v>10</v>
      </c>
      <c r="I101" s="136" t="s">
        <v>10</v>
      </c>
      <c r="J101" s="136" t="s">
        <v>10</v>
      </c>
      <c r="K101" s="135"/>
      <c r="L101" s="135"/>
      <c r="M101" s="135"/>
      <c r="N101" s="135"/>
      <c r="O101" s="135"/>
      <c r="P101" s="4"/>
      <c r="Q101" s="125"/>
      <c r="R101" s="125"/>
      <c r="S101" s="125"/>
      <c r="T101" s="125"/>
      <c r="U101" s="125"/>
      <c r="V101" s="125"/>
      <c r="W101" s="125"/>
      <c r="X101" s="125"/>
      <c r="Y101" s="125"/>
      <c r="Z101" s="125"/>
      <c r="AA101" s="125"/>
      <c r="AB101" s="125"/>
    </row>
    <row r="102" spans="1:28" ht="15.75" customHeight="1">
      <c r="A102" s="125"/>
      <c r="B102" s="58" t="s">
        <v>470</v>
      </c>
      <c r="C102" s="94" t="s">
        <v>471</v>
      </c>
      <c r="D102" s="119" t="s">
        <v>472</v>
      </c>
      <c r="E102" s="150" t="s">
        <v>473</v>
      </c>
      <c r="F102" s="165" t="s">
        <v>474</v>
      </c>
      <c r="G102" s="58"/>
      <c r="H102" s="136" t="s">
        <v>10</v>
      </c>
      <c r="I102" s="136" t="s">
        <v>10</v>
      </c>
      <c r="J102" s="136" t="s">
        <v>10</v>
      </c>
      <c r="K102" s="135"/>
      <c r="L102" s="135"/>
      <c r="M102" s="135"/>
      <c r="N102" s="135"/>
      <c r="O102" s="135"/>
      <c r="P102" s="4"/>
      <c r="Q102" s="125"/>
      <c r="R102" s="125"/>
      <c r="S102" s="125"/>
      <c r="T102" s="125"/>
      <c r="U102" s="125"/>
      <c r="V102" s="125"/>
      <c r="W102" s="125"/>
      <c r="X102" s="125"/>
      <c r="Y102" s="125"/>
      <c r="Z102" s="125"/>
      <c r="AA102" s="125"/>
      <c r="AB102" s="125"/>
    </row>
    <row r="103" spans="1:28" ht="15.75" customHeight="1">
      <c r="A103" s="125"/>
      <c r="B103" s="58" t="s">
        <v>475</v>
      </c>
      <c r="C103" s="94" t="s">
        <v>476</v>
      </c>
      <c r="D103" s="119" t="s">
        <v>477</v>
      </c>
      <c r="E103" s="165" t="s">
        <v>478</v>
      </c>
      <c r="F103" s="165" t="s">
        <v>479</v>
      </c>
      <c r="G103" s="58"/>
      <c r="H103" s="136" t="s">
        <v>10</v>
      </c>
      <c r="I103" s="136" t="s">
        <v>10</v>
      </c>
      <c r="J103" s="136" t="s">
        <v>10</v>
      </c>
      <c r="K103" s="135"/>
      <c r="L103" s="135"/>
      <c r="M103" s="135"/>
      <c r="N103" s="135"/>
      <c r="O103" s="135"/>
      <c r="P103" s="4"/>
      <c r="Q103" s="125"/>
      <c r="R103" s="125"/>
      <c r="S103" s="125"/>
      <c r="T103" s="125"/>
      <c r="U103" s="125"/>
      <c r="V103" s="125"/>
      <c r="W103" s="125"/>
      <c r="X103" s="125"/>
      <c r="Y103" s="125"/>
      <c r="Z103" s="125"/>
      <c r="AA103" s="125"/>
      <c r="AB103" s="125"/>
    </row>
    <row r="104" spans="1:28" ht="15.75" customHeight="1">
      <c r="A104" s="125"/>
      <c r="B104" s="58"/>
      <c r="C104" s="94" t="s">
        <v>476</v>
      </c>
      <c r="D104" s="166" t="s">
        <v>480</v>
      </c>
      <c r="E104" s="143" t="s">
        <v>481</v>
      </c>
      <c r="F104" s="64" t="s">
        <v>482</v>
      </c>
      <c r="G104" s="58"/>
      <c r="H104" s="136" t="s">
        <v>10</v>
      </c>
      <c r="I104" s="136" t="s">
        <v>10</v>
      </c>
      <c r="J104" s="136" t="s">
        <v>10</v>
      </c>
      <c r="K104" s="135"/>
      <c r="L104" s="135"/>
      <c r="M104" s="135"/>
      <c r="N104" s="135"/>
      <c r="O104" s="135"/>
      <c r="P104" s="4"/>
      <c r="Q104" s="125"/>
      <c r="R104" s="125"/>
      <c r="S104" s="125"/>
      <c r="T104" s="125"/>
      <c r="U104" s="125"/>
      <c r="V104" s="125"/>
      <c r="W104" s="125"/>
      <c r="X104" s="125"/>
      <c r="Y104" s="125"/>
      <c r="Z104" s="125"/>
      <c r="AA104" s="125"/>
      <c r="AB104" s="125"/>
    </row>
    <row r="105" spans="1:28" ht="15.75" customHeight="1">
      <c r="A105" s="125"/>
      <c r="B105" s="58" t="s">
        <v>483</v>
      </c>
      <c r="C105" s="94" t="s">
        <v>484</v>
      </c>
      <c r="D105" s="119" t="s">
        <v>485</v>
      </c>
      <c r="E105" s="150" t="s">
        <v>486</v>
      </c>
      <c r="F105" s="135" t="s">
        <v>487</v>
      </c>
      <c r="G105" s="58"/>
      <c r="H105" s="136" t="s">
        <v>10</v>
      </c>
      <c r="I105" s="136" t="s">
        <v>10</v>
      </c>
      <c r="J105" s="136" t="s">
        <v>10</v>
      </c>
      <c r="K105" s="135"/>
      <c r="L105" s="135"/>
      <c r="M105" s="135"/>
      <c r="N105" s="135"/>
      <c r="O105" s="135"/>
      <c r="P105" s="4"/>
      <c r="Q105" s="125"/>
      <c r="R105" s="125"/>
      <c r="S105" s="125"/>
      <c r="T105" s="125"/>
      <c r="U105" s="125"/>
      <c r="V105" s="125"/>
      <c r="W105" s="125"/>
      <c r="X105" s="125"/>
      <c r="Y105" s="125"/>
      <c r="Z105" s="125"/>
      <c r="AA105" s="125"/>
      <c r="AB105" s="125"/>
    </row>
    <row r="106" spans="1:28" ht="15.75" customHeight="1">
      <c r="A106" s="125"/>
      <c r="B106" s="125"/>
      <c r="C106" s="125"/>
      <c r="D106" s="4"/>
      <c r="E106" s="125"/>
      <c r="F106" s="125"/>
      <c r="G106" s="125"/>
      <c r="H106" s="125"/>
      <c r="I106" s="125"/>
      <c r="J106" s="125"/>
      <c r="K106" s="125"/>
      <c r="L106" s="125"/>
      <c r="M106" s="125"/>
      <c r="N106" s="125"/>
      <c r="O106" s="125"/>
      <c r="P106" s="4"/>
      <c r="Q106" s="125"/>
      <c r="R106" s="125"/>
      <c r="S106" s="125"/>
      <c r="T106" s="125"/>
      <c r="U106" s="125"/>
      <c r="V106" s="125"/>
      <c r="W106" s="125"/>
      <c r="X106" s="125"/>
      <c r="Y106" s="125"/>
      <c r="Z106" s="125"/>
      <c r="AA106" s="125"/>
      <c r="AB106" s="125"/>
    </row>
    <row r="107" spans="1:28" ht="15.75" customHeight="1">
      <c r="A107" s="125"/>
      <c r="B107" s="125"/>
      <c r="C107" s="125"/>
      <c r="D107" s="4"/>
      <c r="E107" s="125"/>
      <c r="F107" s="125"/>
      <c r="G107" s="125"/>
      <c r="H107" s="125"/>
      <c r="I107" s="125"/>
      <c r="J107" s="125"/>
      <c r="K107" s="125"/>
      <c r="L107" s="125"/>
      <c r="M107" s="125"/>
      <c r="N107" s="125"/>
      <c r="O107" s="125"/>
      <c r="P107" s="4"/>
      <c r="Q107" s="125"/>
      <c r="R107" s="125"/>
      <c r="S107" s="125"/>
      <c r="T107" s="125"/>
      <c r="U107" s="125"/>
      <c r="V107" s="125"/>
      <c r="W107" s="125"/>
      <c r="X107" s="125"/>
      <c r="Y107" s="125"/>
      <c r="Z107" s="125"/>
      <c r="AA107" s="125"/>
      <c r="AB107" s="125"/>
    </row>
    <row r="108" spans="1:28" ht="15.75" customHeight="1">
      <c r="A108" s="125"/>
      <c r="B108" s="125"/>
      <c r="C108" s="125"/>
      <c r="D108" s="4"/>
      <c r="E108" s="125"/>
      <c r="F108" s="125"/>
      <c r="G108" s="125"/>
      <c r="H108" s="125"/>
      <c r="I108" s="125"/>
      <c r="J108" s="125"/>
      <c r="K108" s="125"/>
      <c r="L108" s="125"/>
      <c r="M108" s="125"/>
      <c r="N108" s="125"/>
      <c r="O108" s="125"/>
      <c r="P108" s="4"/>
      <c r="Q108" s="125"/>
      <c r="R108" s="125"/>
      <c r="S108" s="125"/>
      <c r="T108" s="125"/>
      <c r="U108" s="125"/>
      <c r="V108" s="125"/>
      <c r="W108" s="125"/>
      <c r="X108" s="125"/>
      <c r="Y108" s="125"/>
      <c r="Z108" s="125"/>
      <c r="AA108" s="125"/>
      <c r="AB108" s="125"/>
    </row>
    <row r="109" spans="1:28" ht="15.75" customHeight="1">
      <c r="A109" s="125"/>
      <c r="B109" s="125"/>
      <c r="C109" s="125"/>
      <c r="D109" s="4"/>
      <c r="E109" s="125"/>
      <c r="F109" s="125"/>
      <c r="G109" s="125"/>
      <c r="H109" s="125"/>
      <c r="I109" s="125"/>
      <c r="J109" s="125"/>
      <c r="K109" s="125"/>
      <c r="L109" s="125"/>
      <c r="M109" s="125"/>
      <c r="N109" s="125"/>
      <c r="O109" s="125"/>
      <c r="P109" s="4"/>
      <c r="Q109" s="125"/>
      <c r="R109" s="125"/>
      <c r="S109" s="125"/>
      <c r="T109" s="125"/>
      <c r="U109" s="125"/>
      <c r="V109" s="125"/>
      <c r="W109" s="125"/>
      <c r="X109" s="125"/>
      <c r="Y109" s="125"/>
      <c r="Z109" s="125"/>
      <c r="AA109" s="125"/>
      <c r="AB109" s="125"/>
    </row>
    <row r="110" spans="1:28" ht="15.75" customHeight="1">
      <c r="A110" s="125"/>
      <c r="B110" s="125"/>
      <c r="C110" s="125"/>
      <c r="D110" s="4"/>
      <c r="E110" s="125"/>
      <c r="F110" s="125"/>
      <c r="G110" s="125"/>
      <c r="H110" s="125"/>
      <c r="I110" s="125"/>
      <c r="J110" s="125"/>
      <c r="K110" s="125"/>
      <c r="L110" s="125"/>
      <c r="M110" s="125"/>
      <c r="N110" s="125"/>
      <c r="O110" s="125"/>
      <c r="P110" s="4"/>
      <c r="Q110" s="125"/>
      <c r="R110" s="125"/>
      <c r="S110" s="125"/>
      <c r="T110" s="125"/>
      <c r="U110" s="125"/>
      <c r="V110" s="125"/>
      <c r="W110" s="125"/>
      <c r="X110" s="125"/>
      <c r="Y110" s="125"/>
      <c r="Z110" s="125"/>
      <c r="AA110" s="125"/>
      <c r="AB110" s="125"/>
    </row>
    <row r="111" spans="1:28" ht="15.75" customHeight="1">
      <c r="A111" s="125"/>
      <c r="B111" s="125"/>
      <c r="C111" s="125"/>
      <c r="D111" s="4"/>
      <c r="E111" s="125"/>
      <c r="F111" s="125"/>
      <c r="G111" s="125"/>
      <c r="H111" s="125"/>
      <c r="I111" s="125"/>
      <c r="J111" s="125"/>
      <c r="K111" s="125"/>
      <c r="L111" s="125"/>
      <c r="M111" s="125"/>
      <c r="N111" s="125"/>
      <c r="O111" s="125"/>
      <c r="P111" s="4"/>
      <c r="Q111" s="125"/>
      <c r="R111" s="125"/>
      <c r="S111" s="125"/>
      <c r="T111" s="125"/>
      <c r="U111" s="125"/>
      <c r="V111" s="125"/>
      <c r="W111" s="125"/>
      <c r="X111" s="125"/>
      <c r="Y111" s="125"/>
      <c r="Z111" s="125"/>
      <c r="AA111" s="125"/>
      <c r="AB111" s="125"/>
    </row>
    <row r="112" spans="1:28" ht="15.75" customHeight="1">
      <c r="A112" s="125"/>
      <c r="B112" s="125"/>
      <c r="C112" s="125"/>
      <c r="D112" s="4"/>
      <c r="E112" s="125"/>
      <c r="F112" s="125"/>
      <c r="G112" s="125"/>
      <c r="H112" s="125"/>
      <c r="I112" s="125"/>
      <c r="J112" s="125"/>
      <c r="K112" s="125"/>
      <c r="L112" s="125"/>
      <c r="M112" s="125"/>
      <c r="N112" s="125"/>
      <c r="O112" s="125"/>
      <c r="P112" s="4"/>
      <c r="Q112" s="125"/>
      <c r="R112" s="125"/>
      <c r="S112" s="125"/>
      <c r="T112" s="125"/>
      <c r="U112" s="125"/>
      <c r="V112" s="125"/>
      <c r="W112" s="125"/>
      <c r="X112" s="125"/>
      <c r="Y112" s="125"/>
      <c r="Z112" s="125"/>
      <c r="AA112" s="125"/>
      <c r="AB112" s="125"/>
    </row>
    <row r="113" spans="1:28" ht="15.75" customHeight="1">
      <c r="A113" s="125"/>
      <c r="B113" s="125"/>
      <c r="C113" s="125"/>
      <c r="D113" s="4"/>
      <c r="E113" s="125"/>
      <c r="F113" s="125"/>
      <c r="G113" s="125"/>
      <c r="H113" s="125"/>
      <c r="I113" s="125"/>
      <c r="J113" s="125"/>
      <c r="K113" s="125"/>
      <c r="L113" s="125"/>
      <c r="M113" s="125"/>
      <c r="N113" s="125"/>
      <c r="O113" s="125"/>
      <c r="P113" s="4"/>
      <c r="Q113" s="125"/>
      <c r="R113" s="125"/>
      <c r="S113" s="125"/>
      <c r="T113" s="125"/>
      <c r="U113" s="125"/>
      <c r="V113" s="125"/>
      <c r="W113" s="125"/>
      <c r="X113" s="125"/>
      <c r="Y113" s="125"/>
      <c r="Z113" s="125"/>
      <c r="AA113" s="125"/>
      <c r="AB113" s="125"/>
    </row>
    <row r="114" spans="1:28" ht="15.75" customHeight="1">
      <c r="A114" s="125"/>
      <c r="B114" s="125"/>
      <c r="C114" s="125"/>
      <c r="D114" s="4"/>
      <c r="E114" s="125"/>
      <c r="F114" s="125"/>
      <c r="G114" s="125"/>
      <c r="H114" s="125"/>
      <c r="I114" s="125"/>
      <c r="J114" s="125"/>
      <c r="K114" s="125"/>
      <c r="L114" s="125"/>
      <c r="M114" s="125"/>
      <c r="N114" s="125"/>
      <c r="O114" s="125"/>
      <c r="P114" s="4"/>
      <c r="Q114" s="125"/>
      <c r="R114" s="125"/>
      <c r="S114" s="125"/>
      <c r="T114" s="125"/>
      <c r="U114" s="125"/>
      <c r="V114" s="125"/>
      <c r="W114" s="125"/>
      <c r="X114" s="125"/>
      <c r="Y114" s="125"/>
      <c r="Z114" s="125"/>
      <c r="AA114" s="125"/>
      <c r="AB114" s="125"/>
    </row>
    <row r="115" spans="1:28" ht="15.75" customHeight="1">
      <c r="A115" s="125"/>
      <c r="B115" s="125"/>
      <c r="C115" s="125"/>
      <c r="D115" s="4"/>
      <c r="E115" s="125"/>
      <c r="F115" s="125"/>
      <c r="G115" s="125"/>
      <c r="H115" s="125"/>
      <c r="I115" s="125"/>
      <c r="J115" s="125"/>
      <c r="K115" s="125"/>
      <c r="L115" s="125"/>
      <c r="M115" s="125"/>
      <c r="N115" s="125"/>
      <c r="O115" s="125"/>
      <c r="P115" s="4"/>
      <c r="Q115" s="125"/>
      <c r="R115" s="125"/>
      <c r="S115" s="125"/>
      <c r="T115" s="125"/>
      <c r="U115" s="125"/>
      <c r="V115" s="125"/>
      <c r="W115" s="125"/>
      <c r="X115" s="125"/>
      <c r="Y115" s="125"/>
      <c r="Z115" s="125"/>
      <c r="AA115" s="125"/>
      <c r="AB115" s="125"/>
    </row>
    <row r="116" spans="1:28" ht="15.75" customHeight="1">
      <c r="A116" s="125"/>
      <c r="B116" s="125"/>
      <c r="C116" s="125"/>
      <c r="D116" s="4"/>
      <c r="E116" s="125"/>
      <c r="F116" s="125"/>
      <c r="G116" s="125"/>
      <c r="H116" s="125"/>
      <c r="I116" s="125"/>
      <c r="J116" s="125"/>
      <c r="K116" s="125"/>
      <c r="L116" s="125"/>
      <c r="M116" s="125"/>
      <c r="N116" s="125"/>
      <c r="O116" s="125"/>
      <c r="P116" s="4"/>
      <c r="Q116" s="125"/>
      <c r="R116" s="125"/>
      <c r="S116" s="125"/>
      <c r="T116" s="125"/>
      <c r="U116" s="125"/>
      <c r="V116" s="125"/>
      <c r="W116" s="125"/>
      <c r="X116" s="125"/>
      <c r="Y116" s="125"/>
      <c r="Z116" s="125"/>
      <c r="AA116" s="125"/>
      <c r="AB116" s="125"/>
    </row>
    <row r="117" spans="1:28" ht="15.75" customHeight="1">
      <c r="A117" s="125"/>
      <c r="B117" s="125"/>
      <c r="C117" s="125"/>
      <c r="D117" s="4"/>
      <c r="E117" s="125"/>
      <c r="F117" s="125"/>
      <c r="G117" s="125"/>
      <c r="H117" s="125"/>
      <c r="I117" s="125"/>
      <c r="J117" s="125"/>
      <c r="K117" s="125"/>
      <c r="L117" s="125"/>
      <c r="M117" s="125"/>
      <c r="N117" s="125"/>
      <c r="O117" s="125"/>
      <c r="P117" s="4"/>
      <c r="Q117" s="125"/>
      <c r="R117" s="125"/>
      <c r="S117" s="125"/>
      <c r="T117" s="125"/>
      <c r="U117" s="125"/>
      <c r="V117" s="125"/>
      <c r="W117" s="125"/>
      <c r="X117" s="125"/>
      <c r="Y117" s="125"/>
      <c r="Z117" s="125"/>
      <c r="AA117" s="125"/>
      <c r="AB117" s="125"/>
    </row>
    <row r="118" spans="1:28" ht="15.75" customHeight="1">
      <c r="A118" s="125"/>
      <c r="B118" s="125"/>
      <c r="C118" s="125"/>
      <c r="D118" s="4"/>
      <c r="E118" s="125"/>
      <c r="F118" s="125"/>
      <c r="G118" s="125"/>
      <c r="H118" s="125"/>
      <c r="I118" s="125"/>
      <c r="J118" s="125"/>
      <c r="K118" s="125"/>
      <c r="L118" s="125"/>
      <c r="M118" s="125"/>
      <c r="N118" s="125"/>
      <c r="O118" s="125"/>
      <c r="P118" s="4"/>
      <c r="Q118" s="125"/>
      <c r="R118" s="125"/>
      <c r="S118" s="125"/>
      <c r="T118" s="125"/>
      <c r="U118" s="125"/>
      <c r="V118" s="125"/>
      <c r="W118" s="125"/>
      <c r="X118" s="125"/>
      <c r="Y118" s="125"/>
      <c r="Z118" s="125"/>
      <c r="AA118" s="125"/>
      <c r="AB118" s="125"/>
    </row>
    <row r="119" spans="1:28" ht="15.75" customHeight="1">
      <c r="A119" s="125"/>
      <c r="B119" s="125"/>
      <c r="C119" s="125"/>
      <c r="D119" s="4"/>
      <c r="E119" s="125"/>
      <c r="F119" s="125"/>
      <c r="G119" s="125"/>
      <c r="H119" s="125"/>
      <c r="I119" s="125"/>
      <c r="J119" s="125"/>
      <c r="K119" s="125"/>
      <c r="L119" s="125"/>
      <c r="M119" s="125"/>
      <c r="N119" s="125"/>
      <c r="O119" s="125"/>
      <c r="P119" s="4"/>
      <c r="Q119" s="125"/>
      <c r="R119" s="125"/>
      <c r="S119" s="125"/>
      <c r="T119" s="125"/>
      <c r="U119" s="125"/>
      <c r="V119" s="125"/>
      <c r="W119" s="125"/>
      <c r="X119" s="125"/>
      <c r="Y119" s="125"/>
      <c r="Z119" s="125"/>
      <c r="AA119" s="125"/>
      <c r="AB119" s="125"/>
    </row>
    <row r="120" spans="1:28" ht="15.75" customHeight="1">
      <c r="A120" s="125"/>
      <c r="B120" s="125"/>
      <c r="C120" s="125"/>
      <c r="D120" s="4"/>
      <c r="E120" s="125"/>
      <c r="F120" s="125"/>
      <c r="G120" s="125"/>
      <c r="H120" s="125"/>
      <c r="I120" s="125"/>
      <c r="J120" s="125"/>
      <c r="K120" s="125"/>
      <c r="L120" s="125"/>
      <c r="M120" s="125"/>
      <c r="N120" s="125"/>
      <c r="O120" s="125"/>
      <c r="P120" s="4"/>
      <c r="Q120" s="125"/>
      <c r="R120" s="125"/>
      <c r="S120" s="125"/>
      <c r="T120" s="125"/>
      <c r="U120" s="125"/>
      <c r="V120" s="125"/>
      <c r="W120" s="125"/>
      <c r="X120" s="125"/>
      <c r="Y120" s="125"/>
      <c r="Z120" s="125"/>
      <c r="AA120" s="125"/>
      <c r="AB120" s="125"/>
    </row>
    <row r="121" spans="1:28" ht="15.75" customHeight="1">
      <c r="A121" s="125"/>
      <c r="B121" s="125"/>
      <c r="C121" s="125"/>
      <c r="D121" s="4"/>
      <c r="E121" s="125"/>
      <c r="F121" s="125"/>
      <c r="G121" s="125"/>
      <c r="H121" s="125"/>
      <c r="I121" s="125"/>
      <c r="J121" s="125"/>
      <c r="K121" s="125"/>
      <c r="L121" s="125"/>
      <c r="M121" s="125"/>
      <c r="N121" s="125"/>
      <c r="O121" s="125"/>
      <c r="P121" s="4"/>
      <c r="Q121" s="125"/>
      <c r="R121" s="125"/>
      <c r="S121" s="125"/>
      <c r="T121" s="125"/>
      <c r="U121" s="125"/>
      <c r="V121" s="125"/>
      <c r="W121" s="125"/>
      <c r="X121" s="125"/>
      <c r="Y121" s="125"/>
      <c r="Z121" s="125"/>
      <c r="AA121" s="125"/>
      <c r="AB121" s="125"/>
    </row>
    <row r="122" spans="1:28" ht="15.75" customHeight="1">
      <c r="A122" s="125"/>
      <c r="B122" s="125"/>
      <c r="C122" s="125"/>
      <c r="D122" s="4"/>
      <c r="E122" s="125"/>
      <c r="F122" s="125"/>
      <c r="G122" s="125"/>
      <c r="H122" s="125"/>
      <c r="I122" s="125"/>
      <c r="J122" s="125"/>
      <c r="K122" s="125"/>
      <c r="L122" s="125"/>
      <c r="M122" s="125"/>
      <c r="N122" s="125"/>
      <c r="O122" s="125"/>
      <c r="P122" s="4"/>
      <c r="Q122" s="125"/>
      <c r="R122" s="125"/>
      <c r="S122" s="125"/>
      <c r="T122" s="125"/>
      <c r="U122" s="125"/>
      <c r="V122" s="125"/>
      <c r="W122" s="125"/>
      <c r="X122" s="125"/>
      <c r="Y122" s="125"/>
      <c r="Z122" s="125"/>
      <c r="AA122" s="125"/>
      <c r="AB122" s="125"/>
    </row>
    <row r="123" spans="1:28" ht="15.75" customHeight="1">
      <c r="A123" s="125"/>
      <c r="B123" s="125"/>
      <c r="C123" s="125"/>
      <c r="D123" s="4"/>
      <c r="E123" s="125"/>
      <c r="F123" s="125"/>
      <c r="G123" s="125"/>
      <c r="H123" s="125"/>
      <c r="I123" s="125"/>
      <c r="J123" s="125"/>
      <c r="K123" s="125"/>
      <c r="L123" s="125"/>
      <c r="M123" s="125"/>
      <c r="N123" s="125"/>
      <c r="O123" s="125"/>
      <c r="P123" s="4"/>
      <c r="Q123" s="125"/>
      <c r="R123" s="125"/>
      <c r="S123" s="125"/>
      <c r="T123" s="125"/>
      <c r="U123" s="125"/>
      <c r="V123" s="125"/>
      <c r="W123" s="125"/>
      <c r="X123" s="125"/>
      <c r="Y123" s="125"/>
      <c r="Z123" s="125"/>
      <c r="AA123" s="125"/>
      <c r="AB123" s="125"/>
    </row>
    <row r="124" spans="1:28" ht="15.75" customHeight="1">
      <c r="A124" s="125"/>
      <c r="B124" s="125"/>
      <c r="C124" s="125"/>
      <c r="D124" s="4"/>
      <c r="E124" s="125"/>
      <c r="F124" s="125"/>
      <c r="G124" s="125"/>
      <c r="H124" s="125"/>
      <c r="I124" s="125"/>
      <c r="J124" s="125"/>
      <c r="K124" s="125"/>
      <c r="L124" s="125"/>
      <c r="M124" s="125"/>
      <c r="N124" s="125"/>
      <c r="O124" s="125"/>
      <c r="P124" s="4"/>
      <c r="Q124" s="125"/>
      <c r="R124" s="125"/>
      <c r="S124" s="125"/>
      <c r="T124" s="125"/>
      <c r="U124" s="125"/>
      <c r="V124" s="125"/>
      <c r="W124" s="125"/>
      <c r="X124" s="125"/>
      <c r="Y124" s="125"/>
      <c r="Z124" s="125"/>
      <c r="AA124" s="125"/>
      <c r="AB124" s="125"/>
    </row>
    <row r="125" spans="1:28" ht="15.75" customHeight="1">
      <c r="A125" s="125"/>
      <c r="B125" s="125"/>
      <c r="C125" s="125"/>
      <c r="D125" s="4"/>
      <c r="E125" s="125"/>
      <c r="F125" s="125"/>
      <c r="G125" s="125"/>
      <c r="H125" s="125"/>
      <c r="I125" s="125"/>
      <c r="J125" s="125"/>
      <c r="K125" s="125"/>
      <c r="L125" s="125"/>
      <c r="M125" s="125"/>
      <c r="N125" s="125"/>
      <c r="O125" s="125"/>
      <c r="P125" s="4"/>
      <c r="Q125" s="125"/>
      <c r="R125" s="125"/>
      <c r="S125" s="125"/>
      <c r="T125" s="125"/>
      <c r="U125" s="125"/>
      <c r="V125" s="125"/>
      <c r="W125" s="125"/>
      <c r="X125" s="125"/>
      <c r="Y125" s="125"/>
      <c r="Z125" s="125"/>
      <c r="AA125" s="125"/>
      <c r="AB125" s="125"/>
    </row>
    <row r="126" spans="1:28" ht="15.75" customHeight="1">
      <c r="A126" s="125"/>
      <c r="B126" s="125"/>
      <c r="C126" s="125"/>
      <c r="D126" s="4"/>
      <c r="E126" s="125"/>
      <c r="F126" s="125"/>
      <c r="G126" s="125"/>
      <c r="H126" s="125"/>
      <c r="I126" s="125"/>
      <c r="J126" s="125"/>
      <c r="K126" s="125"/>
      <c r="L126" s="125"/>
      <c r="M126" s="125"/>
      <c r="N126" s="125"/>
      <c r="O126" s="125"/>
      <c r="P126" s="4"/>
      <c r="Q126" s="125"/>
      <c r="R126" s="125"/>
      <c r="S126" s="125"/>
      <c r="T126" s="125"/>
      <c r="U126" s="125"/>
      <c r="V126" s="125"/>
      <c r="W126" s="125"/>
      <c r="X126" s="125"/>
      <c r="Y126" s="125"/>
      <c r="Z126" s="125"/>
      <c r="AA126" s="125"/>
      <c r="AB126" s="125"/>
    </row>
    <row r="127" spans="1:28" ht="15.75" customHeight="1">
      <c r="A127" s="125"/>
      <c r="B127" s="125"/>
      <c r="C127" s="125"/>
      <c r="D127" s="4"/>
      <c r="E127" s="125"/>
      <c r="F127" s="125"/>
      <c r="G127" s="125"/>
      <c r="H127" s="125"/>
      <c r="I127" s="125"/>
      <c r="J127" s="125"/>
      <c r="K127" s="125"/>
      <c r="L127" s="125"/>
      <c r="M127" s="125"/>
      <c r="N127" s="125"/>
      <c r="O127" s="125"/>
      <c r="P127" s="4"/>
      <c r="Q127" s="125"/>
      <c r="R127" s="125"/>
      <c r="S127" s="125"/>
      <c r="T127" s="125"/>
      <c r="U127" s="125"/>
      <c r="V127" s="125"/>
      <c r="W127" s="125"/>
      <c r="X127" s="125"/>
      <c r="Y127" s="125"/>
      <c r="Z127" s="125"/>
      <c r="AA127" s="125"/>
      <c r="AB127" s="125"/>
    </row>
    <row r="128" spans="1:28" ht="15.75" customHeight="1">
      <c r="A128" s="125"/>
      <c r="B128" s="125"/>
      <c r="C128" s="125"/>
      <c r="D128" s="4"/>
      <c r="E128" s="125"/>
      <c r="F128" s="125"/>
      <c r="G128" s="125"/>
      <c r="H128" s="125"/>
      <c r="I128" s="125"/>
      <c r="J128" s="125"/>
      <c r="K128" s="125"/>
      <c r="L128" s="125"/>
      <c r="M128" s="125"/>
      <c r="N128" s="125"/>
      <c r="O128" s="125"/>
      <c r="P128" s="4"/>
      <c r="Q128" s="125"/>
      <c r="R128" s="125"/>
      <c r="S128" s="125"/>
      <c r="T128" s="125"/>
      <c r="U128" s="125"/>
      <c r="V128" s="125"/>
      <c r="W128" s="125"/>
      <c r="X128" s="125"/>
      <c r="Y128" s="125"/>
      <c r="Z128" s="125"/>
      <c r="AA128" s="125"/>
      <c r="AB128" s="125"/>
    </row>
    <row r="129" spans="1:28" ht="15.75" customHeight="1">
      <c r="A129" s="125"/>
      <c r="B129" s="125"/>
      <c r="C129" s="125"/>
      <c r="D129" s="4"/>
      <c r="E129" s="125"/>
      <c r="F129" s="125"/>
      <c r="G129" s="125"/>
      <c r="H129" s="125"/>
      <c r="I129" s="125"/>
      <c r="J129" s="125"/>
      <c r="K129" s="125"/>
      <c r="L129" s="125"/>
      <c r="M129" s="125"/>
      <c r="N129" s="125"/>
      <c r="O129" s="125"/>
      <c r="P129" s="4"/>
      <c r="Q129" s="125"/>
      <c r="R129" s="125"/>
      <c r="S129" s="125"/>
      <c r="T129" s="125"/>
      <c r="U129" s="125"/>
      <c r="V129" s="125"/>
      <c r="W129" s="125"/>
      <c r="X129" s="125"/>
      <c r="Y129" s="125"/>
      <c r="Z129" s="125"/>
      <c r="AA129" s="125"/>
      <c r="AB129" s="125"/>
    </row>
    <row r="130" spans="1:28" ht="15.75" customHeight="1">
      <c r="A130" s="125"/>
      <c r="B130" s="125"/>
      <c r="C130" s="125"/>
      <c r="D130" s="4"/>
      <c r="E130" s="125"/>
      <c r="F130" s="125"/>
      <c r="G130" s="125"/>
      <c r="H130" s="125"/>
      <c r="I130" s="125"/>
      <c r="J130" s="125"/>
      <c r="K130" s="125"/>
      <c r="L130" s="125"/>
      <c r="M130" s="125"/>
      <c r="N130" s="125"/>
      <c r="O130" s="125"/>
      <c r="P130" s="4"/>
      <c r="Q130" s="125"/>
      <c r="R130" s="125"/>
      <c r="S130" s="125"/>
      <c r="T130" s="125"/>
      <c r="U130" s="125"/>
      <c r="V130" s="125"/>
      <c r="W130" s="125"/>
      <c r="X130" s="125"/>
      <c r="Y130" s="125"/>
      <c r="Z130" s="125"/>
      <c r="AA130" s="125"/>
      <c r="AB130" s="125"/>
    </row>
    <row r="131" spans="1:28" ht="15.75" customHeight="1">
      <c r="A131" s="125"/>
      <c r="B131" s="125"/>
      <c r="C131" s="125"/>
      <c r="D131" s="4"/>
      <c r="E131" s="125"/>
      <c r="F131" s="125"/>
      <c r="G131" s="125"/>
      <c r="H131" s="125"/>
      <c r="I131" s="125"/>
      <c r="J131" s="125"/>
      <c r="K131" s="125"/>
      <c r="L131" s="125"/>
      <c r="M131" s="125"/>
      <c r="N131" s="125"/>
      <c r="O131" s="125"/>
      <c r="P131" s="4"/>
      <c r="Q131" s="125"/>
      <c r="R131" s="125"/>
      <c r="S131" s="125"/>
      <c r="T131" s="125"/>
      <c r="U131" s="125"/>
      <c r="V131" s="125"/>
      <c r="W131" s="125"/>
      <c r="X131" s="125"/>
      <c r="Y131" s="125"/>
      <c r="Z131" s="125"/>
      <c r="AA131" s="125"/>
      <c r="AB131" s="125"/>
    </row>
    <row r="132" spans="1:28" ht="15.75" customHeight="1">
      <c r="A132" s="125"/>
      <c r="B132" s="125"/>
      <c r="C132" s="125"/>
      <c r="D132" s="4"/>
      <c r="E132" s="125"/>
      <c r="F132" s="125"/>
      <c r="G132" s="125"/>
      <c r="H132" s="125"/>
      <c r="I132" s="125"/>
      <c r="J132" s="125"/>
      <c r="K132" s="125"/>
      <c r="L132" s="125"/>
      <c r="M132" s="125"/>
      <c r="N132" s="125"/>
      <c r="O132" s="125"/>
      <c r="P132" s="4"/>
      <c r="Q132" s="125"/>
      <c r="R132" s="125"/>
      <c r="S132" s="125"/>
      <c r="T132" s="125"/>
      <c r="U132" s="125"/>
      <c r="V132" s="125"/>
      <c r="W132" s="125"/>
      <c r="X132" s="125"/>
      <c r="Y132" s="125"/>
      <c r="Z132" s="125"/>
      <c r="AA132" s="125"/>
      <c r="AB132" s="125"/>
    </row>
    <row r="133" spans="1:28" ht="15.75" customHeight="1">
      <c r="A133" s="125"/>
      <c r="B133" s="125"/>
      <c r="C133" s="125"/>
      <c r="D133" s="4"/>
      <c r="E133" s="125"/>
      <c r="F133" s="125"/>
      <c r="G133" s="125"/>
      <c r="H133" s="125"/>
      <c r="I133" s="125"/>
      <c r="J133" s="125"/>
      <c r="K133" s="125"/>
      <c r="L133" s="125"/>
      <c r="M133" s="125"/>
      <c r="N133" s="125"/>
      <c r="O133" s="125"/>
      <c r="P133" s="4"/>
      <c r="Q133" s="125"/>
      <c r="R133" s="125"/>
      <c r="S133" s="125"/>
      <c r="T133" s="125"/>
      <c r="U133" s="125"/>
      <c r="V133" s="125"/>
      <c r="W133" s="125"/>
      <c r="X133" s="125"/>
      <c r="Y133" s="125"/>
      <c r="Z133" s="125"/>
      <c r="AA133" s="125"/>
      <c r="AB133" s="125"/>
    </row>
    <row r="134" spans="1:28" ht="15.75" customHeight="1">
      <c r="A134" s="125"/>
      <c r="B134" s="125"/>
      <c r="C134" s="125"/>
      <c r="D134" s="4"/>
      <c r="E134" s="125"/>
      <c r="F134" s="125"/>
      <c r="G134" s="125"/>
      <c r="H134" s="125"/>
      <c r="I134" s="125"/>
      <c r="J134" s="125"/>
      <c r="K134" s="125"/>
      <c r="L134" s="125"/>
      <c r="M134" s="125"/>
      <c r="N134" s="125"/>
      <c r="O134" s="125"/>
      <c r="P134" s="4"/>
      <c r="Q134" s="125"/>
      <c r="R134" s="125"/>
      <c r="S134" s="125"/>
      <c r="T134" s="125"/>
      <c r="U134" s="125"/>
      <c r="V134" s="125"/>
      <c r="W134" s="125"/>
      <c r="X134" s="125"/>
      <c r="Y134" s="125"/>
      <c r="Z134" s="125"/>
      <c r="AA134" s="125"/>
      <c r="AB134" s="125"/>
    </row>
    <row r="135" spans="1:28" ht="15.75" customHeight="1">
      <c r="A135" s="125"/>
      <c r="B135" s="125"/>
      <c r="C135" s="125"/>
      <c r="D135" s="4"/>
      <c r="E135" s="125"/>
      <c r="F135" s="125"/>
      <c r="G135" s="125"/>
      <c r="H135" s="125"/>
      <c r="I135" s="125"/>
      <c r="J135" s="125"/>
      <c r="K135" s="125"/>
      <c r="L135" s="125"/>
      <c r="M135" s="125"/>
      <c r="N135" s="125"/>
      <c r="O135" s="125"/>
      <c r="P135" s="4"/>
      <c r="Q135" s="125"/>
      <c r="R135" s="125"/>
      <c r="S135" s="125"/>
      <c r="T135" s="125"/>
      <c r="U135" s="125"/>
      <c r="V135" s="125"/>
      <c r="W135" s="125"/>
      <c r="X135" s="125"/>
      <c r="Y135" s="125"/>
      <c r="Z135" s="125"/>
      <c r="AA135" s="125"/>
      <c r="AB135" s="125"/>
    </row>
    <row r="136" spans="1:28" ht="15.75" customHeight="1">
      <c r="A136" s="125"/>
      <c r="B136" s="125"/>
      <c r="C136" s="125"/>
      <c r="D136" s="4"/>
      <c r="E136" s="125"/>
      <c r="F136" s="125"/>
      <c r="G136" s="125"/>
      <c r="H136" s="125"/>
      <c r="I136" s="125"/>
      <c r="J136" s="125"/>
      <c r="K136" s="125"/>
      <c r="L136" s="125"/>
      <c r="M136" s="125"/>
      <c r="N136" s="125"/>
      <c r="O136" s="125"/>
      <c r="P136" s="4"/>
      <c r="Q136" s="125"/>
      <c r="R136" s="125"/>
      <c r="S136" s="125"/>
      <c r="T136" s="125"/>
      <c r="U136" s="125"/>
      <c r="V136" s="125"/>
      <c r="W136" s="125"/>
      <c r="X136" s="125"/>
      <c r="Y136" s="125"/>
      <c r="Z136" s="125"/>
      <c r="AA136" s="125"/>
      <c r="AB136" s="125"/>
    </row>
    <row r="137" spans="1:28" ht="15.75" customHeight="1">
      <c r="A137" s="125"/>
      <c r="B137" s="125"/>
      <c r="C137" s="125"/>
      <c r="D137" s="4"/>
      <c r="E137" s="125"/>
      <c r="F137" s="125"/>
      <c r="G137" s="125"/>
      <c r="H137" s="125"/>
      <c r="I137" s="125"/>
      <c r="J137" s="125"/>
      <c r="K137" s="125"/>
      <c r="L137" s="125"/>
      <c r="M137" s="125"/>
      <c r="N137" s="125"/>
      <c r="O137" s="125"/>
      <c r="P137" s="4"/>
      <c r="Q137" s="125"/>
      <c r="R137" s="125"/>
      <c r="S137" s="125"/>
      <c r="T137" s="125"/>
      <c r="U137" s="125"/>
      <c r="V137" s="125"/>
      <c r="W137" s="125"/>
      <c r="X137" s="125"/>
      <c r="Y137" s="125"/>
      <c r="Z137" s="125"/>
      <c r="AA137" s="125"/>
      <c r="AB137" s="125"/>
    </row>
    <row r="138" spans="1:28" ht="15.75" customHeight="1">
      <c r="A138" s="125"/>
      <c r="B138" s="125"/>
      <c r="C138" s="125"/>
      <c r="D138" s="4"/>
      <c r="E138" s="125"/>
      <c r="F138" s="125"/>
      <c r="G138" s="125"/>
      <c r="H138" s="125"/>
      <c r="I138" s="125"/>
      <c r="J138" s="125"/>
      <c r="K138" s="125"/>
      <c r="L138" s="125"/>
      <c r="M138" s="125"/>
      <c r="N138" s="125"/>
      <c r="O138" s="125"/>
      <c r="P138" s="4"/>
      <c r="Q138" s="125"/>
      <c r="R138" s="125"/>
      <c r="S138" s="125"/>
      <c r="T138" s="125"/>
      <c r="U138" s="125"/>
      <c r="V138" s="125"/>
      <c r="W138" s="125"/>
      <c r="X138" s="125"/>
      <c r="Y138" s="125"/>
      <c r="Z138" s="125"/>
      <c r="AA138" s="125"/>
      <c r="AB138" s="125"/>
    </row>
    <row r="139" spans="1:28" ht="15.75" customHeight="1">
      <c r="A139" s="125"/>
      <c r="B139" s="125"/>
      <c r="C139" s="125"/>
      <c r="D139" s="4"/>
      <c r="E139" s="125"/>
      <c r="F139" s="125"/>
      <c r="G139" s="125"/>
      <c r="H139" s="125"/>
      <c r="I139" s="125"/>
      <c r="J139" s="125"/>
      <c r="K139" s="125"/>
      <c r="L139" s="125"/>
      <c r="M139" s="125"/>
      <c r="N139" s="125"/>
      <c r="O139" s="125"/>
      <c r="P139" s="4"/>
      <c r="Q139" s="125"/>
      <c r="R139" s="125"/>
      <c r="S139" s="125"/>
      <c r="T139" s="125"/>
      <c r="U139" s="125"/>
      <c r="V139" s="125"/>
      <c r="W139" s="125"/>
      <c r="X139" s="125"/>
      <c r="Y139" s="125"/>
      <c r="Z139" s="125"/>
      <c r="AA139" s="125"/>
      <c r="AB139" s="125"/>
    </row>
    <row r="140" spans="1:28" ht="15.75" customHeight="1">
      <c r="A140" s="125"/>
      <c r="B140" s="125"/>
      <c r="C140" s="125"/>
      <c r="D140" s="4"/>
      <c r="E140" s="125"/>
      <c r="F140" s="125"/>
      <c r="G140" s="125"/>
      <c r="H140" s="125"/>
      <c r="I140" s="125"/>
      <c r="J140" s="125"/>
      <c r="K140" s="125"/>
      <c r="L140" s="125"/>
      <c r="M140" s="125"/>
      <c r="N140" s="125"/>
      <c r="O140" s="125"/>
      <c r="P140" s="4"/>
      <c r="Q140" s="125"/>
      <c r="R140" s="125"/>
      <c r="S140" s="125"/>
      <c r="T140" s="125"/>
      <c r="U140" s="125"/>
      <c r="V140" s="125"/>
      <c r="W140" s="125"/>
      <c r="X140" s="125"/>
      <c r="Y140" s="125"/>
      <c r="Z140" s="125"/>
      <c r="AA140" s="125"/>
      <c r="AB140" s="125"/>
    </row>
    <row r="141" spans="1:28" ht="15.75" customHeight="1">
      <c r="A141" s="125"/>
      <c r="B141" s="125"/>
      <c r="C141" s="125"/>
      <c r="D141" s="4"/>
      <c r="E141" s="125"/>
      <c r="F141" s="125"/>
      <c r="G141" s="125"/>
      <c r="H141" s="125"/>
      <c r="I141" s="125"/>
      <c r="J141" s="125"/>
      <c r="K141" s="125"/>
      <c r="L141" s="125"/>
      <c r="M141" s="125"/>
      <c r="N141" s="125"/>
      <c r="O141" s="125"/>
      <c r="P141" s="4"/>
      <c r="Q141" s="125"/>
      <c r="R141" s="125"/>
      <c r="S141" s="125"/>
      <c r="T141" s="125"/>
      <c r="U141" s="125"/>
      <c r="V141" s="125"/>
      <c r="W141" s="125"/>
      <c r="X141" s="125"/>
      <c r="Y141" s="125"/>
      <c r="Z141" s="125"/>
      <c r="AA141" s="125"/>
      <c r="AB141" s="125"/>
    </row>
    <row r="142" spans="1:28" ht="15.75" customHeight="1">
      <c r="A142" s="125"/>
      <c r="B142" s="125"/>
      <c r="C142" s="125"/>
      <c r="D142" s="4"/>
      <c r="E142" s="125"/>
      <c r="F142" s="125"/>
      <c r="G142" s="125"/>
      <c r="H142" s="125"/>
      <c r="I142" s="125"/>
      <c r="J142" s="125"/>
      <c r="K142" s="125"/>
      <c r="L142" s="125"/>
      <c r="M142" s="125"/>
      <c r="N142" s="125"/>
      <c r="O142" s="125"/>
      <c r="P142" s="4"/>
      <c r="Q142" s="125"/>
      <c r="R142" s="125"/>
      <c r="S142" s="125"/>
      <c r="T142" s="125"/>
      <c r="U142" s="125"/>
      <c r="V142" s="125"/>
      <c r="W142" s="125"/>
      <c r="X142" s="125"/>
      <c r="Y142" s="125"/>
      <c r="Z142" s="125"/>
      <c r="AA142" s="125"/>
      <c r="AB142" s="125"/>
    </row>
    <row r="143" spans="1:28" ht="15.75" customHeight="1">
      <c r="A143" s="125"/>
      <c r="B143" s="125"/>
      <c r="C143" s="125"/>
      <c r="D143" s="4"/>
      <c r="E143" s="125"/>
      <c r="F143" s="125"/>
      <c r="G143" s="125"/>
      <c r="H143" s="125"/>
      <c r="I143" s="125"/>
      <c r="J143" s="125"/>
      <c r="K143" s="125"/>
      <c r="L143" s="125"/>
      <c r="M143" s="125"/>
      <c r="N143" s="125"/>
      <c r="O143" s="125"/>
      <c r="P143" s="4"/>
      <c r="Q143" s="125"/>
      <c r="R143" s="125"/>
      <c r="S143" s="125"/>
      <c r="T143" s="125"/>
      <c r="U143" s="125"/>
      <c r="V143" s="125"/>
      <c r="W143" s="125"/>
      <c r="X143" s="125"/>
      <c r="Y143" s="125"/>
      <c r="Z143" s="125"/>
      <c r="AA143" s="125"/>
      <c r="AB143" s="125"/>
    </row>
    <row r="144" spans="1:28" ht="15.75" customHeight="1">
      <c r="A144" s="125"/>
      <c r="B144" s="125"/>
      <c r="C144" s="125"/>
      <c r="D144" s="4"/>
      <c r="E144" s="125"/>
      <c r="F144" s="125"/>
      <c r="G144" s="125"/>
      <c r="H144" s="125"/>
      <c r="I144" s="125"/>
      <c r="J144" s="125"/>
      <c r="K144" s="125"/>
      <c r="L144" s="125"/>
      <c r="M144" s="125"/>
      <c r="N144" s="125"/>
      <c r="O144" s="125"/>
      <c r="P144" s="4"/>
      <c r="Q144" s="125"/>
      <c r="R144" s="125"/>
      <c r="S144" s="125"/>
      <c r="T144" s="125"/>
      <c r="U144" s="125"/>
      <c r="V144" s="125"/>
      <c r="W144" s="125"/>
      <c r="X144" s="125"/>
      <c r="Y144" s="125"/>
      <c r="Z144" s="125"/>
      <c r="AA144" s="125"/>
      <c r="AB144" s="125"/>
    </row>
    <row r="145" spans="1:28" ht="15.75" customHeight="1">
      <c r="A145" s="125"/>
      <c r="B145" s="125"/>
      <c r="C145" s="125"/>
      <c r="D145" s="4"/>
      <c r="E145" s="125"/>
      <c r="F145" s="125"/>
      <c r="G145" s="125"/>
      <c r="H145" s="125"/>
      <c r="I145" s="125"/>
      <c r="J145" s="125"/>
      <c r="K145" s="125"/>
      <c r="L145" s="125"/>
      <c r="M145" s="125"/>
      <c r="N145" s="125"/>
      <c r="O145" s="125"/>
      <c r="P145" s="4"/>
      <c r="Q145" s="125"/>
      <c r="R145" s="125"/>
      <c r="S145" s="125"/>
      <c r="T145" s="125"/>
      <c r="U145" s="125"/>
      <c r="V145" s="125"/>
      <c r="W145" s="125"/>
      <c r="X145" s="125"/>
      <c r="Y145" s="125"/>
      <c r="Z145" s="125"/>
      <c r="AA145" s="125"/>
      <c r="AB145" s="125"/>
    </row>
    <row r="146" spans="1:28" ht="15.75" customHeight="1">
      <c r="A146" s="125"/>
      <c r="B146" s="125"/>
      <c r="C146" s="125"/>
      <c r="D146" s="4"/>
      <c r="E146" s="125"/>
      <c r="F146" s="125"/>
      <c r="G146" s="125"/>
      <c r="H146" s="125"/>
      <c r="I146" s="125"/>
      <c r="J146" s="125"/>
      <c r="K146" s="125"/>
      <c r="L146" s="125"/>
      <c r="M146" s="125"/>
      <c r="N146" s="125"/>
      <c r="O146" s="125"/>
      <c r="P146" s="4"/>
      <c r="Q146" s="125"/>
      <c r="R146" s="125"/>
      <c r="S146" s="125"/>
      <c r="T146" s="125"/>
      <c r="U146" s="125"/>
      <c r="V146" s="125"/>
      <c r="W146" s="125"/>
      <c r="X146" s="125"/>
      <c r="Y146" s="125"/>
      <c r="Z146" s="125"/>
      <c r="AA146" s="125"/>
      <c r="AB146" s="125"/>
    </row>
    <row r="147" spans="1:28" ht="15.75" customHeight="1">
      <c r="A147" s="125"/>
      <c r="B147" s="125"/>
      <c r="C147" s="125"/>
      <c r="D147" s="4"/>
      <c r="E147" s="125"/>
      <c r="F147" s="125"/>
      <c r="G147" s="125"/>
      <c r="H147" s="125"/>
      <c r="I147" s="125"/>
      <c r="J147" s="125"/>
      <c r="K147" s="125"/>
      <c r="L147" s="125"/>
      <c r="M147" s="125"/>
      <c r="N147" s="125"/>
      <c r="O147" s="125"/>
      <c r="P147" s="4"/>
      <c r="Q147" s="125"/>
      <c r="R147" s="125"/>
      <c r="S147" s="125"/>
      <c r="T147" s="125"/>
      <c r="U147" s="125"/>
      <c r="V147" s="125"/>
      <c r="W147" s="125"/>
      <c r="X147" s="125"/>
      <c r="Y147" s="125"/>
      <c r="Z147" s="125"/>
      <c r="AA147" s="125"/>
      <c r="AB147" s="125"/>
    </row>
    <row r="148" spans="1:28" ht="15.75" customHeight="1">
      <c r="A148" s="125"/>
      <c r="B148" s="125"/>
      <c r="C148" s="125"/>
      <c r="D148" s="4"/>
      <c r="E148" s="125"/>
      <c r="F148" s="125"/>
      <c r="G148" s="125"/>
      <c r="H148" s="125"/>
      <c r="I148" s="125"/>
      <c r="J148" s="125"/>
      <c r="K148" s="125"/>
      <c r="L148" s="125"/>
      <c r="M148" s="125"/>
      <c r="N148" s="125"/>
      <c r="O148" s="125"/>
      <c r="P148" s="4"/>
      <c r="Q148" s="125"/>
      <c r="R148" s="125"/>
      <c r="S148" s="125"/>
      <c r="T148" s="125"/>
      <c r="U148" s="125"/>
      <c r="V148" s="125"/>
      <c r="W148" s="125"/>
      <c r="X148" s="125"/>
      <c r="Y148" s="125"/>
      <c r="Z148" s="125"/>
      <c r="AA148" s="125"/>
      <c r="AB148" s="125"/>
    </row>
    <row r="149" spans="1:28" ht="15.75" customHeight="1">
      <c r="A149" s="125"/>
      <c r="B149" s="125"/>
      <c r="C149" s="125"/>
      <c r="D149" s="4"/>
      <c r="E149" s="125"/>
      <c r="F149" s="125"/>
      <c r="G149" s="125"/>
      <c r="H149" s="125"/>
      <c r="I149" s="125"/>
      <c r="J149" s="125"/>
      <c r="K149" s="125"/>
      <c r="L149" s="125"/>
      <c r="M149" s="125"/>
      <c r="N149" s="125"/>
      <c r="O149" s="125"/>
      <c r="P149" s="4"/>
      <c r="Q149" s="125"/>
      <c r="R149" s="125"/>
      <c r="S149" s="125"/>
      <c r="T149" s="125"/>
      <c r="U149" s="125"/>
      <c r="V149" s="125"/>
      <c r="W149" s="125"/>
      <c r="X149" s="125"/>
      <c r="Y149" s="125"/>
      <c r="Z149" s="125"/>
      <c r="AA149" s="125"/>
      <c r="AB149" s="125"/>
    </row>
    <row r="150" spans="1:28" ht="15.75" customHeight="1">
      <c r="A150" s="125"/>
      <c r="B150" s="125"/>
      <c r="C150" s="125"/>
      <c r="D150" s="4"/>
      <c r="E150" s="125"/>
      <c r="F150" s="125"/>
      <c r="G150" s="125"/>
      <c r="H150" s="125"/>
      <c r="I150" s="125"/>
      <c r="J150" s="125"/>
      <c r="K150" s="125"/>
      <c r="L150" s="125"/>
      <c r="M150" s="125"/>
      <c r="N150" s="125"/>
      <c r="O150" s="125"/>
      <c r="P150" s="4"/>
      <c r="Q150" s="125"/>
      <c r="R150" s="125"/>
      <c r="S150" s="125"/>
      <c r="T150" s="125"/>
      <c r="U150" s="125"/>
      <c r="V150" s="125"/>
      <c r="W150" s="125"/>
      <c r="X150" s="125"/>
      <c r="Y150" s="125"/>
      <c r="Z150" s="125"/>
      <c r="AA150" s="125"/>
      <c r="AB150" s="125"/>
    </row>
    <row r="151" spans="1:28" ht="15.75" customHeight="1">
      <c r="A151" s="125"/>
      <c r="B151" s="125"/>
      <c r="C151" s="125"/>
      <c r="D151" s="4"/>
      <c r="E151" s="125"/>
      <c r="F151" s="125"/>
      <c r="G151" s="125"/>
      <c r="H151" s="125"/>
      <c r="I151" s="125"/>
      <c r="J151" s="125"/>
      <c r="K151" s="125"/>
      <c r="L151" s="125"/>
      <c r="M151" s="125"/>
      <c r="N151" s="125"/>
      <c r="O151" s="125"/>
      <c r="P151" s="4"/>
      <c r="Q151" s="125"/>
      <c r="R151" s="125"/>
      <c r="S151" s="125"/>
      <c r="T151" s="125"/>
      <c r="U151" s="125"/>
      <c r="V151" s="125"/>
      <c r="W151" s="125"/>
      <c r="X151" s="125"/>
      <c r="Y151" s="125"/>
      <c r="Z151" s="125"/>
      <c r="AA151" s="125"/>
      <c r="AB151" s="125"/>
    </row>
    <row r="152" spans="1:28" ht="15.75" customHeight="1">
      <c r="A152" s="125"/>
      <c r="B152" s="125"/>
      <c r="C152" s="125"/>
      <c r="D152" s="4"/>
      <c r="E152" s="125"/>
      <c r="F152" s="125"/>
      <c r="G152" s="125"/>
      <c r="H152" s="125"/>
      <c r="I152" s="125"/>
      <c r="J152" s="125"/>
      <c r="K152" s="125"/>
      <c r="L152" s="125"/>
      <c r="M152" s="125"/>
      <c r="N152" s="125"/>
      <c r="O152" s="125"/>
      <c r="P152" s="4"/>
      <c r="Q152" s="125"/>
      <c r="R152" s="125"/>
      <c r="S152" s="125"/>
      <c r="T152" s="125"/>
      <c r="U152" s="125"/>
      <c r="V152" s="125"/>
      <c r="W152" s="125"/>
      <c r="X152" s="125"/>
      <c r="Y152" s="125"/>
      <c r="Z152" s="125"/>
      <c r="AA152" s="125"/>
      <c r="AB152" s="125"/>
    </row>
    <row r="153" spans="1:28" ht="15.75" customHeight="1">
      <c r="A153" s="125"/>
      <c r="B153" s="125"/>
      <c r="C153" s="125"/>
      <c r="D153" s="4"/>
      <c r="E153" s="125"/>
      <c r="F153" s="125"/>
      <c r="G153" s="125"/>
      <c r="H153" s="125"/>
      <c r="I153" s="125"/>
      <c r="J153" s="125"/>
      <c r="K153" s="125"/>
      <c r="L153" s="125"/>
      <c r="M153" s="125"/>
      <c r="N153" s="125"/>
      <c r="O153" s="125"/>
      <c r="P153" s="4"/>
      <c r="Q153" s="125"/>
      <c r="R153" s="125"/>
      <c r="S153" s="125"/>
      <c r="T153" s="125"/>
      <c r="U153" s="125"/>
      <c r="V153" s="125"/>
      <c r="W153" s="125"/>
      <c r="X153" s="125"/>
      <c r="Y153" s="125"/>
      <c r="Z153" s="125"/>
      <c r="AA153" s="125"/>
      <c r="AB153" s="125"/>
    </row>
    <row r="154" spans="1:28" ht="15.75" customHeight="1">
      <c r="A154" s="125"/>
      <c r="B154" s="167" t="s">
        <v>488</v>
      </c>
      <c r="C154" s="125"/>
      <c r="D154" s="231" t="s">
        <v>51</v>
      </c>
      <c r="E154" s="224"/>
      <c r="F154" s="125"/>
      <c r="G154" s="125"/>
      <c r="H154" s="125"/>
      <c r="I154" s="125"/>
      <c r="J154" s="125"/>
      <c r="K154" s="125"/>
      <c r="L154" s="125"/>
      <c r="M154" s="125"/>
      <c r="N154" s="125"/>
      <c r="O154" s="125"/>
      <c r="P154" s="4"/>
      <c r="Q154" s="125"/>
      <c r="R154" s="125"/>
      <c r="S154" s="125"/>
      <c r="T154" s="125"/>
      <c r="U154" s="125"/>
      <c r="V154" s="125"/>
      <c r="W154" s="125"/>
      <c r="X154" s="125"/>
      <c r="Y154" s="125"/>
      <c r="Z154" s="125"/>
      <c r="AA154" s="125"/>
      <c r="AB154" s="125"/>
    </row>
    <row r="155" spans="1:28" ht="15.75" customHeight="1">
      <c r="A155" s="125"/>
      <c r="B155" s="125"/>
      <c r="C155" s="125"/>
      <c r="D155" s="109" t="s">
        <v>7</v>
      </c>
      <c r="E155" s="110">
        <f>COUNTIF(H4:H15,D155)</f>
        <v>0</v>
      </c>
      <c r="F155" s="125"/>
      <c r="G155" s="125"/>
      <c r="H155" s="125"/>
      <c r="I155" s="125"/>
      <c r="J155" s="125"/>
      <c r="K155" s="125"/>
      <c r="L155" s="125"/>
      <c r="M155" s="125"/>
      <c r="N155" s="125"/>
      <c r="O155" s="125"/>
      <c r="P155" s="4"/>
      <c r="Q155" s="125"/>
      <c r="R155" s="125"/>
      <c r="S155" s="125"/>
      <c r="T155" s="125"/>
      <c r="U155" s="125"/>
      <c r="V155" s="125"/>
      <c r="W155" s="125"/>
      <c r="X155" s="125"/>
      <c r="Y155" s="125"/>
      <c r="Z155" s="125"/>
      <c r="AA155" s="125"/>
      <c r="AB155" s="125"/>
    </row>
    <row r="156" spans="1:28" ht="15.75" customHeight="1">
      <c r="A156" s="125"/>
      <c r="B156" s="125"/>
      <c r="C156" s="125"/>
      <c r="D156" s="109" t="s">
        <v>8</v>
      </c>
      <c r="E156" s="110">
        <f>COUNTIF(H4:H15,D156)</f>
        <v>0</v>
      </c>
      <c r="F156" s="125"/>
      <c r="G156" s="125"/>
      <c r="H156" s="125"/>
      <c r="I156" s="125"/>
      <c r="J156" s="125"/>
      <c r="K156" s="125"/>
      <c r="L156" s="125"/>
      <c r="M156" s="125"/>
      <c r="N156" s="125"/>
      <c r="O156" s="125"/>
      <c r="P156" s="4"/>
      <c r="Q156" s="125"/>
      <c r="R156" s="125"/>
      <c r="S156" s="125"/>
      <c r="T156" s="125"/>
      <c r="U156" s="125"/>
      <c r="V156" s="125"/>
      <c r="W156" s="125"/>
      <c r="X156" s="125"/>
      <c r="Y156" s="125"/>
      <c r="Z156" s="125"/>
      <c r="AA156" s="125"/>
      <c r="AB156" s="125"/>
    </row>
    <row r="157" spans="1:28" ht="15.75" customHeight="1">
      <c r="A157" s="125"/>
      <c r="B157" s="125"/>
      <c r="C157" s="125"/>
      <c r="D157" s="109" t="s">
        <v>9</v>
      </c>
      <c r="E157" s="110">
        <f>COUNTIF(H4:H15,D157)</f>
        <v>0</v>
      </c>
      <c r="F157" s="125"/>
      <c r="G157" s="125"/>
      <c r="H157" s="125"/>
      <c r="I157" s="125"/>
      <c r="J157" s="125"/>
      <c r="K157" s="125"/>
      <c r="L157" s="125"/>
      <c r="M157" s="125"/>
      <c r="N157" s="125"/>
      <c r="O157" s="125"/>
      <c r="P157" s="4"/>
      <c r="Q157" s="125"/>
      <c r="R157" s="125"/>
      <c r="S157" s="125"/>
      <c r="T157" s="125"/>
      <c r="U157" s="125"/>
      <c r="V157" s="125"/>
      <c r="W157" s="125"/>
      <c r="X157" s="125"/>
      <c r="Y157" s="125"/>
      <c r="Z157" s="125"/>
      <c r="AA157" s="125"/>
      <c r="AB157" s="125"/>
    </row>
    <row r="158" spans="1:28" ht="15.75" customHeight="1">
      <c r="A158" s="125"/>
      <c r="B158" s="125"/>
      <c r="C158" s="125"/>
      <c r="D158" s="109" t="s">
        <v>10</v>
      </c>
      <c r="E158" s="110">
        <f>COUNTIF(H4:H15,D158)</f>
        <v>12</v>
      </c>
      <c r="F158" s="125"/>
      <c r="G158" s="125"/>
      <c r="H158" s="125"/>
      <c r="I158" s="125"/>
      <c r="J158" s="125"/>
      <c r="K158" s="125"/>
      <c r="L158" s="125"/>
      <c r="M158" s="125"/>
      <c r="N158" s="125"/>
      <c r="O158" s="125"/>
      <c r="P158" s="4"/>
      <c r="Q158" s="125"/>
      <c r="R158" s="125"/>
      <c r="S158" s="125"/>
      <c r="T158" s="125"/>
      <c r="U158" s="125"/>
      <c r="V158" s="125"/>
      <c r="W158" s="125"/>
      <c r="X158" s="125"/>
      <c r="Y158" s="125"/>
      <c r="Z158" s="125"/>
      <c r="AA158" s="125"/>
      <c r="AB158" s="125"/>
    </row>
    <row r="159" spans="1:28" ht="15.75" customHeight="1">
      <c r="A159" s="125"/>
      <c r="B159" s="125"/>
      <c r="C159" s="125"/>
      <c r="D159" s="109" t="s">
        <v>6</v>
      </c>
      <c r="E159" s="110">
        <f>SUM(E155:E157)</f>
        <v>0</v>
      </c>
      <c r="F159" s="125"/>
      <c r="G159" s="125"/>
      <c r="H159" s="125"/>
      <c r="I159" s="125"/>
      <c r="J159" s="125"/>
      <c r="K159" s="125"/>
      <c r="L159" s="125"/>
      <c r="M159" s="125"/>
      <c r="N159" s="125"/>
      <c r="O159" s="125"/>
      <c r="P159" s="4"/>
      <c r="Q159" s="125"/>
      <c r="R159" s="125"/>
      <c r="S159" s="125"/>
      <c r="T159" s="125"/>
      <c r="U159" s="125"/>
      <c r="V159" s="125"/>
      <c r="W159" s="125"/>
      <c r="X159" s="125"/>
      <c r="Y159" s="125"/>
      <c r="Z159" s="125"/>
      <c r="AA159" s="125"/>
      <c r="AB159" s="125"/>
    </row>
    <row r="160" spans="1:28" ht="15.75" customHeight="1">
      <c r="A160" s="125"/>
      <c r="B160" s="125"/>
      <c r="C160" s="125"/>
      <c r="D160" s="109" t="s">
        <v>39</v>
      </c>
      <c r="E160" s="110">
        <f>SUM(E155:E158)</f>
        <v>12</v>
      </c>
      <c r="F160" s="125"/>
      <c r="G160" s="125"/>
      <c r="H160" s="125"/>
      <c r="I160" s="125"/>
      <c r="J160" s="125"/>
      <c r="K160" s="125"/>
      <c r="L160" s="125"/>
      <c r="M160" s="125"/>
      <c r="N160" s="125"/>
      <c r="O160" s="125"/>
      <c r="P160" s="4"/>
      <c r="Q160" s="125"/>
      <c r="R160" s="125"/>
      <c r="S160" s="125"/>
      <c r="T160" s="125"/>
      <c r="U160" s="125"/>
      <c r="V160" s="125"/>
      <c r="W160" s="125"/>
      <c r="X160" s="125"/>
      <c r="Y160" s="125"/>
      <c r="Z160" s="125"/>
      <c r="AA160" s="125"/>
      <c r="AB160" s="125"/>
    </row>
    <row r="161" spans="1:28" ht="15.75" customHeight="1">
      <c r="A161" s="125"/>
      <c r="B161" s="125"/>
      <c r="C161" s="125"/>
      <c r="F161" s="125"/>
      <c r="G161" s="125"/>
      <c r="H161" s="125"/>
      <c r="I161" s="125"/>
      <c r="J161" s="125"/>
      <c r="K161" s="125"/>
      <c r="L161" s="125"/>
      <c r="M161" s="125"/>
      <c r="N161" s="125"/>
      <c r="O161" s="125"/>
      <c r="P161" s="4"/>
      <c r="Q161" s="125"/>
      <c r="R161" s="125"/>
      <c r="S161" s="125"/>
      <c r="T161" s="125"/>
      <c r="U161" s="125"/>
      <c r="V161" s="125"/>
      <c r="W161" s="125"/>
      <c r="X161" s="125"/>
      <c r="Y161" s="125"/>
      <c r="Z161" s="125"/>
      <c r="AA161" s="125"/>
      <c r="AB161" s="125"/>
    </row>
    <row r="162" spans="1:28" ht="15.75" customHeight="1">
      <c r="A162" s="125"/>
      <c r="B162" s="125"/>
      <c r="C162" s="125"/>
      <c r="F162" s="125"/>
      <c r="G162" s="125"/>
      <c r="H162" s="125"/>
      <c r="I162" s="125"/>
      <c r="J162" s="125"/>
      <c r="K162" s="125"/>
      <c r="L162" s="125"/>
      <c r="M162" s="125"/>
      <c r="N162" s="125"/>
      <c r="O162" s="125"/>
      <c r="P162" s="4"/>
      <c r="Q162" s="125"/>
      <c r="R162" s="125"/>
      <c r="S162" s="125"/>
      <c r="T162" s="125"/>
      <c r="U162" s="125"/>
      <c r="V162" s="125"/>
      <c r="W162" s="125"/>
      <c r="X162" s="125"/>
      <c r="Y162" s="125"/>
      <c r="Z162" s="125"/>
      <c r="AA162" s="125"/>
      <c r="AB162" s="125"/>
    </row>
    <row r="163" spans="1:28" ht="15.75" customHeight="1">
      <c r="A163" s="125"/>
      <c r="B163" s="125"/>
      <c r="C163" s="125"/>
      <c r="D163" s="231" t="s">
        <v>131</v>
      </c>
      <c r="E163" s="224"/>
      <c r="F163" s="125"/>
      <c r="G163" s="125"/>
      <c r="H163" s="125"/>
      <c r="I163" s="125"/>
      <c r="J163" s="125"/>
      <c r="K163" s="125"/>
      <c r="L163" s="125"/>
      <c r="M163" s="125"/>
      <c r="N163" s="125"/>
      <c r="O163" s="125"/>
      <c r="P163" s="4"/>
      <c r="Q163" s="125"/>
      <c r="R163" s="125"/>
      <c r="S163" s="125"/>
      <c r="T163" s="125"/>
      <c r="U163" s="125"/>
      <c r="V163" s="125"/>
      <c r="W163" s="125"/>
      <c r="X163" s="125"/>
      <c r="Y163" s="125"/>
      <c r="Z163" s="125"/>
      <c r="AA163" s="125"/>
      <c r="AB163" s="125"/>
    </row>
    <row r="164" spans="1:28" ht="15.75" customHeight="1">
      <c r="A164" s="125"/>
      <c r="B164" s="125"/>
      <c r="C164" s="125"/>
      <c r="D164" s="109" t="s">
        <v>7</v>
      </c>
      <c r="E164" s="110">
        <f>COUNTIF(I4:I15,D164)</f>
        <v>0</v>
      </c>
      <c r="F164" s="125"/>
      <c r="G164" s="125"/>
      <c r="H164" s="125"/>
      <c r="I164" s="125"/>
      <c r="J164" s="125"/>
      <c r="K164" s="125"/>
      <c r="L164" s="125"/>
      <c r="M164" s="125"/>
      <c r="N164" s="125"/>
      <c r="O164" s="125"/>
      <c r="P164" s="4"/>
      <c r="Q164" s="125"/>
      <c r="R164" s="125"/>
      <c r="S164" s="125"/>
      <c r="T164" s="125"/>
      <c r="U164" s="125"/>
      <c r="V164" s="125"/>
      <c r="W164" s="125"/>
      <c r="X164" s="125"/>
      <c r="Y164" s="125"/>
      <c r="Z164" s="125"/>
      <c r="AA164" s="125"/>
      <c r="AB164" s="125"/>
    </row>
    <row r="165" spans="1:28" ht="15.75" customHeight="1">
      <c r="A165" s="125"/>
      <c r="B165" s="125"/>
      <c r="C165" s="125"/>
      <c r="D165" s="109" t="s">
        <v>8</v>
      </c>
      <c r="E165" s="110">
        <f>COUNTIF(I4:I15,D165)</f>
        <v>0</v>
      </c>
      <c r="F165" s="125"/>
      <c r="G165" s="125"/>
      <c r="H165" s="125"/>
      <c r="I165" s="125"/>
      <c r="J165" s="125"/>
      <c r="K165" s="125"/>
      <c r="L165" s="125"/>
      <c r="M165" s="125"/>
      <c r="N165" s="125"/>
      <c r="O165" s="125"/>
      <c r="P165" s="4"/>
      <c r="Q165" s="125"/>
      <c r="R165" s="125"/>
      <c r="S165" s="125"/>
      <c r="T165" s="125"/>
      <c r="U165" s="125"/>
      <c r="V165" s="125"/>
      <c r="W165" s="125"/>
      <c r="X165" s="125"/>
      <c r="Y165" s="125"/>
      <c r="Z165" s="125"/>
      <c r="AA165" s="125"/>
      <c r="AB165" s="125"/>
    </row>
    <row r="166" spans="1:28" ht="15.75" customHeight="1">
      <c r="A166" s="125"/>
      <c r="B166" s="125"/>
      <c r="C166" s="125"/>
      <c r="D166" s="109" t="s">
        <v>9</v>
      </c>
      <c r="E166" s="110">
        <f>COUNTIF(H4:H49,D166)</f>
        <v>0</v>
      </c>
      <c r="F166" s="125"/>
      <c r="G166" s="125"/>
      <c r="H166" s="125"/>
      <c r="I166" s="125"/>
      <c r="J166" s="125"/>
      <c r="K166" s="125"/>
      <c r="L166" s="125"/>
      <c r="M166" s="125"/>
      <c r="N166" s="125"/>
      <c r="O166" s="125"/>
      <c r="P166" s="4"/>
      <c r="Q166" s="125"/>
      <c r="R166" s="125"/>
      <c r="S166" s="125"/>
      <c r="T166" s="125"/>
      <c r="U166" s="125"/>
      <c r="V166" s="125"/>
      <c r="W166" s="125"/>
      <c r="X166" s="125"/>
      <c r="Y166" s="125"/>
      <c r="Z166" s="125"/>
      <c r="AA166" s="125"/>
      <c r="AB166" s="125"/>
    </row>
    <row r="167" spans="1:28" ht="15.75" customHeight="1">
      <c r="A167" s="125"/>
      <c r="B167" s="125"/>
      <c r="C167" s="125"/>
      <c r="D167" s="109" t="s">
        <v>10</v>
      </c>
      <c r="E167" s="110">
        <f>COUNTIF(H4:H15,D167)</f>
        <v>12</v>
      </c>
      <c r="F167" s="125"/>
      <c r="G167" s="125"/>
      <c r="H167" s="125"/>
      <c r="I167" s="125"/>
      <c r="J167" s="125"/>
      <c r="K167" s="125"/>
      <c r="L167" s="125"/>
      <c r="M167" s="125"/>
      <c r="N167" s="125"/>
      <c r="O167" s="125"/>
      <c r="P167" s="4"/>
      <c r="Q167" s="125"/>
      <c r="R167" s="125"/>
      <c r="S167" s="125"/>
      <c r="T167" s="125"/>
      <c r="U167" s="125"/>
      <c r="V167" s="125"/>
      <c r="W167" s="125"/>
      <c r="X167" s="125"/>
      <c r="Y167" s="125"/>
      <c r="Z167" s="125"/>
      <c r="AA167" s="125"/>
      <c r="AB167" s="125"/>
    </row>
    <row r="168" spans="1:28" ht="15.75" customHeight="1">
      <c r="A168" s="125"/>
      <c r="B168" s="125"/>
      <c r="C168" s="125"/>
      <c r="D168" s="109" t="s">
        <v>6</v>
      </c>
      <c r="E168" s="110">
        <f>SUM(E164:E166)</f>
        <v>0</v>
      </c>
      <c r="F168" s="125"/>
      <c r="G168" s="125"/>
      <c r="H168" s="125"/>
      <c r="I168" s="125"/>
      <c r="J168" s="125"/>
      <c r="K168" s="125"/>
      <c r="L168" s="125"/>
      <c r="M168" s="125"/>
      <c r="N168" s="125"/>
      <c r="O168" s="125"/>
      <c r="P168" s="4"/>
      <c r="Q168" s="125"/>
      <c r="R168" s="125"/>
      <c r="S168" s="125"/>
      <c r="T168" s="125"/>
      <c r="U168" s="125"/>
      <c r="V168" s="125"/>
      <c r="W168" s="125"/>
      <c r="X168" s="125"/>
      <c r="Y168" s="125"/>
      <c r="Z168" s="125"/>
      <c r="AA168" s="125"/>
      <c r="AB168" s="125"/>
    </row>
    <row r="169" spans="1:28" ht="15.75" customHeight="1">
      <c r="A169" s="125"/>
      <c r="B169" s="125"/>
      <c r="C169" s="125"/>
      <c r="D169" s="109" t="s">
        <v>39</v>
      </c>
      <c r="E169" s="110">
        <f>SUM(E164:E167)</f>
        <v>12</v>
      </c>
      <c r="F169" s="125"/>
      <c r="G169" s="125"/>
      <c r="H169" s="125"/>
      <c r="I169" s="125"/>
      <c r="J169" s="125"/>
      <c r="K169" s="125"/>
      <c r="L169" s="125"/>
      <c r="M169" s="125"/>
      <c r="N169" s="125"/>
      <c r="O169" s="125"/>
      <c r="P169" s="4"/>
      <c r="Q169" s="125"/>
      <c r="R169" s="125"/>
      <c r="S169" s="125"/>
      <c r="T169" s="125"/>
      <c r="U169" s="125"/>
      <c r="V169" s="125"/>
      <c r="W169" s="125"/>
      <c r="X169" s="125"/>
      <c r="Y169" s="125"/>
      <c r="Z169" s="125"/>
      <c r="AA169" s="125"/>
      <c r="AB169" s="125"/>
    </row>
    <row r="170" spans="1:28" ht="15.75" customHeight="1">
      <c r="A170" s="125"/>
      <c r="B170" s="125"/>
      <c r="C170" s="125"/>
      <c r="F170" s="125"/>
      <c r="G170" s="125"/>
      <c r="H170" s="125"/>
      <c r="I170" s="125"/>
      <c r="J170" s="125"/>
      <c r="K170" s="125"/>
      <c r="L170" s="125"/>
      <c r="M170" s="125"/>
      <c r="N170" s="125"/>
      <c r="O170" s="125"/>
      <c r="P170" s="4"/>
      <c r="Q170" s="125"/>
      <c r="R170" s="125"/>
      <c r="S170" s="125"/>
      <c r="T170" s="125"/>
      <c r="U170" s="125"/>
      <c r="V170" s="125"/>
      <c r="W170" s="125"/>
      <c r="X170" s="125"/>
      <c r="Y170" s="125"/>
      <c r="Z170" s="125"/>
      <c r="AA170" s="125"/>
      <c r="AB170" s="125"/>
    </row>
    <row r="171" spans="1:28" ht="15.75" customHeight="1">
      <c r="A171" s="125"/>
      <c r="B171" s="125"/>
      <c r="C171" s="125"/>
      <c r="D171" s="231" t="s">
        <v>132</v>
      </c>
      <c r="E171" s="224"/>
      <c r="F171" s="125"/>
      <c r="G171" s="125"/>
      <c r="H171" s="125"/>
      <c r="I171" s="125"/>
      <c r="J171" s="125"/>
      <c r="K171" s="125"/>
      <c r="L171" s="125"/>
      <c r="M171" s="125"/>
      <c r="N171" s="125"/>
      <c r="O171" s="125"/>
      <c r="P171" s="4"/>
      <c r="Q171" s="125"/>
      <c r="R171" s="125"/>
      <c r="S171" s="125"/>
      <c r="T171" s="125"/>
      <c r="U171" s="125"/>
      <c r="V171" s="125"/>
      <c r="W171" s="125"/>
      <c r="X171" s="125"/>
      <c r="Y171" s="125"/>
      <c r="Z171" s="125"/>
      <c r="AA171" s="125"/>
      <c r="AB171" s="125"/>
    </row>
    <row r="172" spans="1:28" ht="15.75" customHeight="1">
      <c r="A172" s="125"/>
      <c r="B172" s="125"/>
      <c r="C172" s="125"/>
      <c r="D172" s="109" t="s">
        <v>7</v>
      </c>
      <c r="E172" s="110">
        <f>COUNTIF(J4:J15,D172)</f>
        <v>0</v>
      </c>
      <c r="F172" s="125"/>
      <c r="G172" s="125"/>
      <c r="H172" s="125"/>
      <c r="I172" s="125"/>
      <c r="J172" s="125"/>
      <c r="K172" s="125"/>
      <c r="L172" s="125"/>
      <c r="M172" s="125"/>
      <c r="N172" s="125"/>
      <c r="O172" s="125"/>
      <c r="P172" s="4"/>
      <c r="Q172" s="125"/>
      <c r="R172" s="125"/>
      <c r="S172" s="125"/>
      <c r="T172" s="125"/>
      <c r="U172" s="125"/>
      <c r="V172" s="125"/>
      <c r="W172" s="125"/>
      <c r="X172" s="125"/>
      <c r="Y172" s="125"/>
      <c r="Z172" s="125"/>
      <c r="AA172" s="125"/>
      <c r="AB172" s="125"/>
    </row>
    <row r="173" spans="1:28" ht="15.75" customHeight="1">
      <c r="A173" s="125"/>
      <c r="B173" s="125"/>
      <c r="C173" s="125"/>
      <c r="D173" s="109" t="s">
        <v>8</v>
      </c>
      <c r="E173" s="110">
        <f>COUNTIF(J4:J15,D173)</f>
        <v>0</v>
      </c>
      <c r="F173" s="125"/>
      <c r="G173" s="125"/>
      <c r="H173" s="125"/>
      <c r="I173" s="125"/>
      <c r="J173" s="125"/>
      <c r="K173" s="125"/>
      <c r="L173" s="125"/>
      <c r="M173" s="125"/>
      <c r="N173" s="125"/>
      <c r="O173" s="125"/>
      <c r="P173" s="4"/>
      <c r="Q173" s="125"/>
      <c r="R173" s="125"/>
      <c r="S173" s="125"/>
      <c r="T173" s="125"/>
      <c r="U173" s="125"/>
      <c r="V173" s="125"/>
      <c r="W173" s="125"/>
      <c r="X173" s="125"/>
      <c r="Y173" s="125"/>
      <c r="Z173" s="125"/>
      <c r="AA173" s="125"/>
      <c r="AB173" s="125"/>
    </row>
    <row r="174" spans="1:28" ht="15.75" customHeight="1">
      <c r="A174" s="125"/>
      <c r="B174" s="125"/>
      <c r="C174" s="125"/>
      <c r="D174" s="109" t="s">
        <v>9</v>
      </c>
      <c r="E174" s="110">
        <f>COUNTIF(J4:J15,D174)</f>
        <v>0</v>
      </c>
      <c r="F174" s="125"/>
      <c r="G174" s="125"/>
      <c r="H174" s="125"/>
      <c r="I174" s="125"/>
      <c r="J174" s="125"/>
      <c r="K174" s="125"/>
      <c r="L174" s="125"/>
      <c r="M174" s="125"/>
      <c r="N174" s="125"/>
      <c r="O174" s="125"/>
      <c r="P174" s="4"/>
      <c r="Q174" s="125"/>
      <c r="R174" s="125"/>
      <c r="S174" s="125"/>
      <c r="T174" s="125"/>
      <c r="U174" s="125"/>
      <c r="V174" s="125"/>
      <c r="W174" s="125"/>
      <c r="X174" s="125"/>
      <c r="Y174" s="125"/>
      <c r="Z174" s="125"/>
      <c r="AA174" s="125"/>
      <c r="AB174" s="125"/>
    </row>
    <row r="175" spans="1:28" ht="15.75" customHeight="1">
      <c r="A175" s="125"/>
      <c r="B175" s="125"/>
      <c r="C175" s="125"/>
      <c r="D175" s="109" t="s">
        <v>10</v>
      </c>
      <c r="E175" s="110">
        <f>COUNTIF(J4:J15,D175)</f>
        <v>12</v>
      </c>
      <c r="F175" s="125"/>
      <c r="G175" s="125"/>
      <c r="H175" s="125"/>
      <c r="I175" s="125"/>
      <c r="J175" s="125"/>
      <c r="K175" s="125"/>
      <c r="L175" s="125"/>
      <c r="M175" s="125"/>
      <c r="N175" s="125"/>
      <c r="O175" s="125"/>
      <c r="P175" s="4"/>
      <c r="Q175" s="125"/>
      <c r="R175" s="125"/>
      <c r="S175" s="125"/>
      <c r="T175" s="125"/>
      <c r="U175" s="125"/>
      <c r="V175" s="125"/>
      <c r="W175" s="125"/>
      <c r="X175" s="125"/>
      <c r="Y175" s="125"/>
      <c r="Z175" s="125"/>
      <c r="AA175" s="125"/>
      <c r="AB175" s="125"/>
    </row>
    <row r="176" spans="1:28" ht="15.75" customHeight="1">
      <c r="A176" s="125"/>
      <c r="B176" s="125"/>
      <c r="C176" s="125"/>
      <c r="D176" s="109" t="s">
        <v>6</v>
      </c>
      <c r="E176" s="110">
        <f>SUM(E172:E174)</f>
        <v>0</v>
      </c>
      <c r="F176" s="125"/>
      <c r="G176" s="125"/>
      <c r="H176" s="125"/>
      <c r="I176" s="125"/>
      <c r="J176" s="125"/>
      <c r="K176" s="125"/>
      <c r="L176" s="125"/>
      <c r="M176" s="125"/>
      <c r="N176" s="125"/>
      <c r="O176" s="125"/>
      <c r="P176" s="4"/>
      <c r="Q176" s="125"/>
      <c r="R176" s="125"/>
      <c r="S176" s="125"/>
      <c r="T176" s="125"/>
      <c r="U176" s="125"/>
      <c r="V176" s="125"/>
      <c r="W176" s="125"/>
      <c r="X176" s="125"/>
      <c r="Y176" s="125"/>
      <c r="Z176" s="125"/>
      <c r="AA176" s="125"/>
      <c r="AB176" s="125"/>
    </row>
    <row r="177" spans="1:28" ht="15.75" customHeight="1">
      <c r="A177" s="125"/>
      <c r="B177" s="125"/>
      <c r="C177" s="125"/>
      <c r="D177" s="109" t="s">
        <v>39</v>
      </c>
      <c r="E177" s="110">
        <f>SUM(E172:E175)</f>
        <v>12</v>
      </c>
      <c r="F177" s="125"/>
      <c r="G177" s="125"/>
      <c r="H177" s="125"/>
      <c r="I177" s="125"/>
      <c r="J177" s="125"/>
      <c r="K177" s="125"/>
      <c r="L177" s="125"/>
      <c r="M177" s="125"/>
      <c r="N177" s="125"/>
      <c r="O177" s="125"/>
      <c r="P177" s="4"/>
      <c r="Q177" s="125"/>
      <c r="R177" s="125"/>
      <c r="S177" s="125"/>
      <c r="T177" s="125"/>
      <c r="U177" s="125"/>
      <c r="V177" s="125"/>
      <c r="W177" s="125"/>
      <c r="X177" s="125"/>
      <c r="Y177" s="125"/>
      <c r="Z177" s="125"/>
      <c r="AA177" s="125"/>
      <c r="AB177" s="125"/>
    </row>
    <row r="178" spans="1:28" ht="15.75" customHeight="1">
      <c r="A178" s="125"/>
      <c r="B178" s="125"/>
      <c r="C178" s="125"/>
      <c r="F178" s="125"/>
      <c r="G178" s="125"/>
      <c r="H178" s="125"/>
      <c r="I178" s="125"/>
      <c r="J178" s="125"/>
      <c r="K178" s="125"/>
      <c r="L178" s="125"/>
      <c r="M178" s="125"/>
      <c r="N178" s="125"/>
      <c r="O178" s="125"/>
      <c r="P178" s="4"/>
      <c r="Q178" s="125"/>
      <c r="R178" s="125"/>
      <c r="S178" s="125"/>
      <c r="T178" s="125"/>
      <c r="U178" s="125"/>
      <c r="V178" s="125"/>
      <c r="W178" s="125"/>
      <c r="X178" s="125"/>
      <c r="Y178" s="125"/>
      <c r="Z178" s="125"/>
      <c r="AA178" s="125"/>
      <c r="AB178" s="125"/>
    </row>
    <row r="179" spans="1:28" ht="15.75" customHeight="1">
      <c r="A179" s="125"/>
      <c r="B179" s="125"/>
      <c r="C179" s="125"/>
      <c r="D179" s="231" t="s">
        <v>33</v>
      </c>
      <c r="E179" s="224"/>
      <c r="F179" s="125"/>
      <c r="G179" s="125"/>
      <c r="H179" s="125"/>
      <c r="I179" s="125"/>
      <c r="J179" s="125"/>
      <c r="K179" s="125"/>
      <c r="L179" s="125"/>
      <c r="M179" s="125"/>
      <c r="N179" s="125"/>
      <c r="O179" s="125"/>
      <c r="P179" s="4"/>
      <c r="Q179" s="125"/>
      <c r="R179" s="125"/>
      <c r="S179" s="125"/>
      <c r="T179" s="125"/>
      <c r="U179" s="125"/>
      <c r="V179" s="125"/>
      <c r="W179" s="125"/>
      <c r="X179" s="125"/>
      <c r="Y179" s="125"/>
      <c r="Z179" s="125"/>
      <c r="AA179" s="125"/>
      <c r="AB179" s="125"/>
    </row>
    <row r="180" spans="1:28" ht="15.75" customHeight="1">
      <c r="A180" s="125"/>
      <c r="B180" s="125"/>
      <c r="C180" s="125"/>
      <c r="D180" s="109" t="s">
        <v>7</v>
      </c>
      <c r="E180" s="110">
        <f t="shared" ref="E180:E185" si="0">SUM(E155,E164,E172)</f>
        <v>0</v>
      </c>
      <c r="F180" s="125"/>
      <c r="G180" s="125"/>
      <c r="H180" s="125"/>
      <c r="I180" s="125"/>
      <c r="J180" s="125"/>
      <c r="K180" s="125"/>
      <c r="L180" s="125"/>
      <c r="M180" s="125"/>
      <c r="N180" s="125"/>
      <c r="O180" s="125"/>
      <c r="P180" s="4"/>
      <c r="Q180" s="125"/>
      <c r="R180" s="125"/>
      <c r="S180" s="125"/>
      <c r="T180" s="125"/>
      <c r="U180" s="125"/>
      <c r="V180" s="125"/>
      <c r="W180" s="125"/>
      <c r="X180" s="125"/>
      <c r="Y180" s="125"/>
      <c r="Z180" s="125"/>
      <c r="AA180" s="125"/>
      <c r="AB180" s="125"/>
    </row>
    <row r="181" spans="1:28" ht="15.75" customHeight="1">
      <c r="A181" s="125"/>
      <c r="B181" s="125"/>
      <c r="C181" s="125"/>
      <c r="D181" s="109" t="s">
        <v>8</v>
      </c>
      <c r="E181" s="110">
        <f t="shared" si="0"/>
        <v>0</v>
      </c>
      <c r="F181" s="125"/>
      <c r="G181" s="125"/>
      <c r="H181" s="125"/>
      <c r="I181" s="125"/>
      <c r="J181" s="125"/>
      <c r="K181" s="125"/>
      <c r="L181" s="125"/>
      <c r="M181" s="125"/>
      <c r="N181" s="125"/>
      <c r="O181" s="125"/>
      <c r="P181" s="4"/>
      <c r="Q181" s="125"/>
      <c r="R181" s="125"/>
      <c r="S181" s="125"/>
      <c r="T181" s="125"/>
      <c r="U181" s="125"/>
      <c r="V181" s="125"/>
      <c r="W181" s="125"/>
      <c r="X181" s="125"/>
      <c r="Y181" s="125"/>
      <c r="Z181" s="125"/>
      <c r="AA181" s="125"/>
      <c r="AB181" s="125"/>
    </row>
    <row r="182" spans="1:28" ht="15.75" customHeight="1">
      <c r="A182" s="125"/>
      <c r="B182" s="125"/>
      <c r="C182" s="125"/>
      <c r="D182" s="109" t="s">
        <v>9</v>
      </c>
      <c r="E182" s="110">
        <f t="shared" si="0"/>
        <v>0</v>
      </c>
      <c r="F182" s="125"/>
      <c r="G182" s="125"/>
      <c r="H182" s="125"/>
      <c r="I182" s="125"/>
      <c r="J182" s="125"/>
      <c r="K182" s="125"/>
      <c r="L182" s="125"/>
      <c r="M182" s="125"/>
      <c r="N182" s="125"/>
      <c r="O182" s="125"/>
      <c r="P182" s="4"/>
      <c r="Q182" s="125"/>
      <c r="R182" s="125"/>
      <c r="S182" s="125"/>
      <c r="T182" s="125"/>
      <c r="U182" s="125"/>
      <c r="V182" s="125"/>
      <c r="W182" s="125"/>
      <c r="X182" s="125"/>
      <c r="Y182" s="125"/>
      <c r="Z182" s="125"/>
      <c r="AA182" s="125"/>
      <c r="AB182" s="125"/>
    </row>
    <row r="183" spans="1:28" ht="15.75" customHeight="1">
      <c r="A183" s="125"/>
      <c r="B183" s="125"/>
      <c r="C183" s="125"/>
      <c r="D183" s="109" t="s">
        <v>10</v>
      </c>
      <c r="E183" s="110">
        <f t="shared" si="0"/>
        <v>36</v>
      </c>
      <c r="F183" s="125"/>
      <c r="G183" s="125"/>
      <c r="H183" s="125"/>
      <c r="I183" s="125"/>
      <c r="J183" s="125"/>
      <c r="K183" s="125"/>
      <c r="L183" s="125"/>
      <c r="M183" s="125"/>
      <c r="N183" s="125"/>
      <c r="O183" s="125"/>
      <c r="P183" s="4"/>
      <c r="Q183" s="125"/>
      <c r="R183" s="125"/>
      <c r="S183" s="125"/>
      <c r="T183" s="125"/>
      <c r="U183" s="125"/>
      <c r="V183" s="125"/>
      <c r="W183" s="125"/>
      <c r="X183" s="125"/>
      <c r="Y183" s="125"/>
      <c r="Z183" s="125"/>
      <c r="AA183" s="125"/>
      <c r="AB183" s="125"/>
    </row>
    <row r="184" spans="1:28" ht="15.75" customHeight="1">
      <c r="A184" s="125"/>
      <c r="B184" s="125"/>
      <c r="C184" s="125"/>
      <c r="D184" s="109" t="s">
        <v>6</v>
      </c>
      <c r="E184" s="110">
        <f t="shared" si="0"/>
        <v>0</v>
      </c>
      <c r="F184" s="125"/>
      <c r="G184" s="125"/>
      <c r="H184" s="125"/>
      <c r="I184" s="125"/>
      <c r="J184" s="125"/>
      <c r="K184" s="125"/>
      <c r="L184" s="125"/>
      <c r="M184" s="125"/>
      <c r="N184" s="125"/>
      <c r="O184" s="125"/>
      <c r="P184" s="4"/>
      <c r="Q184" s="125"/>
      <c r="R184" s="125"/>
      <c r="S184" s="125"/>
      <c r="T184" s="125"/>
      <c r="U184" s="125"/>
      <c r="V184" s="125"/>
      <c r="W184" s="125"/>
      <c r="X184" s="125"/>
      <c r="Y184" s="125"/>
      <c r="Z184" s="125"/>
      <c r="AA184" s="125"/>
      <c r="AB184" s="125"/>
    </row>
    <row r="185" spans="1:28" ht="15.75" customHeight="1">
      <c r="A185" s="125"/>
      <c r="B185" s="125"/>
      <c r="C185" s="125"/>
      <c r="D185" s="109" t="s">
        <v>39</v>
      </c>
      <c r="E185" s="110">
        <f t="shared" si="0"/>
        <v>36</v>
      </c>
      <c r="F185" s="125"/>
      <c r="G185" s="125"/>
      <c r="H185" s="125"/>
      <c r="I185" s="125"/>
      <c r="J185" s="125"/>
      <c r="K185" s="125"/>
      <c r="L185" s="125"/>
      <c r="M185" s="125"/>
      <c r="N185" s="125"/>
      <c r="O185" s="125"/>
      <c r="P185" s="4"/>
      <c r="Q185" s="125"/>
      <c r="R185" s="125"/>
      <c r="S185" s="125"/>
      <c r="T185" s="125"/>
      <c r="U185" s="125"/>
      <c r="V185" s="125"/>
      <c r="W185" s="125"/>
      <c r="X185" s="125"/>
      <c r="Y185" s="125"/>
      <c r="Z185" s="125"/>
      <c r="AA185" s="125"/>
      <c r="AB185" s="125"/>
    </row>
    <row r="186" spans="1:28" ht="15.75" customHeight="1">
      <c r="A186" s="125"/>
      <c r="B186" s="125"/>
      <c r="C186" s="125"/>
      <c r="D186" s="4"/>
      <c r="E186" s="125"/>
      <c r="F186" s="125"/>
      <c r="G186" s="125"/>
      <c r="H186" s="125"/>
      <c r="I186" s="125"/>
      <c r="J186" s="125"/>
      <c r="K186" s="125"/>
      <c r="L186" s="125"/>
      <c r="M186" s="125"/>
      <c r="N186" s="125"/>
      <c r="O186" s="125"/>
      <c r="P186" s="4"/>
      <c r="Q186" s="125"/>
      <c r="R186" s="125"/>
      <c r="S186" s="125"/>
      <c r="T186" s="125"/>
      <c r="U186" s="125"/>
      <c r="V186" s="125"/>
      <c r="W186" s="125"/>
      <c r="X186" s="125"/>
      <c r="Y186" s="125"/>
      <c r="Z186" s="125"/>
      <c r="AA186" s="125"/>
      <c r="AB186" s="125"/>
    </row>
    <row r="187" spans="1:28" ht="15.75" customHeight="1">
      <c r="A187" s="125"/>
      <c r="B187" s="125"/>
      <c r="C187" s="125"/>
      <c r="D187" s="4"/>
      <c r="E187" s="125"/>
      <c r="F187" s="125"/>
      <c r="G187" s="125"/>
      <c r="H187" s="125"/>
      <c r="I187" s="125"/>
      <c r="J187" s="125"/>
      <c r="K187" s="125"/>
      <c r="L187" s="125"/>
      <c r="M187" s="125"/>
      <c r="N187" s="125"/>
      <c r="O187" s="125"/>
      <c r="P187" s="4"/>
      <c r="Q187" s="125"/>
      <c r="R187" s="125"/>
      <c r="S187" s="125"/>
      <c r="T187" s="125"/>
      <c r="U187" s="125"/>
      <c r="V187" s="125"/>
      <c r="W187" s="125"/>
      <c r="X187" s="125"/>
      <c r="Y187" s="125"/>
      <c r="Z187" s="125"/>
      <c r="AA187" s="125"/>
      <c r="AB187" s="125"/>
    </row>
    <row r="188" spans="1:28" ht="15.75" customHeight="1">
      <c r="A188" s="125"/>
      <c r="B188" s="125"/>
      <c r="C188" s="125"/>
      <c r="D188" s="4"/>
      <c r="E188" s="125"/>
      <c r="F188" s="125"/>
      <c r="G188" s="125"/>
      <c r="H188" s="125"/>
      <c r="I188" s="125"/>
      <c r="J188" s="125"/>
      <c r="K188" s="125"/>
      <c r="L188" s="125"/>
      <c r="M188" s="125"/>
      <c r="N188" s="125"/>
      <c r="O188" s="125"/>
      <c r="P188" s="4"/>
      <c r="Q188" s="125"/>
      <c r="R188" s="125"/>
      <c r="S188" s="125"/>
      <c r="T188" s="125"/>
      <c r="U188" s="125"/>
      <c r="V188" s="125"/>
      <c r="W188" s="125"/>
      <c r="X188" s="125"/>
      <c r="Y188" s="125"/>
      <c r="Z188" s="125"/>
      <c r="AA188" s="125"/>
      <c r="AB188" s="125"/>
    </row>
    <row r="189" spans="1:28" ht="15.75" customHeight="1">
      <c r="A189" s="125"/>
      <c r="B189" s="125"/>
      <c r="C189" s="125"/>
      <c r="D189" s="4"/>
      <c r="E189" s="125"/>
      <c r="F189" s="125"/>
      <c r="G189" s="125"/>
      <c r="H189" s="125"/>
      <c r="I189" s="125"/>
      <c r="J189" s="125"/>
      <c r="K189" s="125"/>
      <c r="L189" s="125"/>
      <c r="M189" s="125"/>
      <c r="N189" s="125"/>
      <c r="O189" s="125"/>
      <c r="P189" s="4"/>
      <c r="Q189" s="125"/>
      <c r="R189" s="125"/>
      <c r="S189" s="125"/>
      <c r="T189" s="125"/>
      <c r="U189" s="125"/>
      <c r="V189" s="125"/>
      <c r="W189" s="125"/>
      <c r="X189" s="125"/>
      <c r="Y189" s="125"/>
      <c r="Z189" s="125"/>
      <c r="AA189" s="125"/>
      <c r="AB189" s="125"/>
    </row>
    <row r="190" spans="1:28" ht="15.75" customHeight="1">
      <c r="A190" s="125"/>
      <c r="B190" s="125"/>
      <c r="C190" s="125"/>
      <c r="D190" s="4"/>
      <c r="E190" s="125"/>
      <c r="F190" s="125"/>
      <c r="G190" s="125"/>
      <c r="H190" s="125"/>
      <c r="I190" s="125"/>
      <c r="J190" s="125"/>
      <c r="K190" s="125"/>
      <c r="L190" s="125"/>
      <c r="M190" s="125"/>
      <c r="N190" s="125"/>
      <c r="O190" s="125"/>
      <c r="P190" s="4"/>
      <c r="Q190" s="125"/>
      <c r="R190" s="125"/>
      <c r="S190" s="125"/>
      <c r="T190" s="125"/>
      <c r="U190" s="125"/>
      <c r="V190" s="125"/>
      <c r="W190" s="125"/>
      <c r="X190" s="125"/>
      <c r="Y190" s="125"/>
      <c r="Z190" s="125"/>
      <c r="AA190" s="125"/>
      <c r="AB190" s="125"/>
    </row>
    <row r="191" spans="1:28" ht="15.75" customHeight="1">
      <c r="A191" s="125"/>
      <c r="B191" s="125"/>
      <c r="C191" s="125"/>
      <c r="D191" s="4"/>
      <c r="E191" s="125"/>
      <c r="F191" s="125"/>
      <c r="G191" s="125"/>
      <c r="H191" s="125"/>
      <c r="I191" s="125"/>
      <c r="J191" s="125"/>
      <c r="K191" s="125"/>
      <c r="L191" s="125"/>
      <c r="M191" s="125"/>
      <c r="N191" s="125"/>
      <c r="O191" s="125"/>
      <c r="P191" s="4"/>
      <c r="Q191" s="125"/>
      <c r="R191" s="125"/>
      <c r="S191" s="125"/>
      <c r="T191" s="125"/>
      <c r="U191" s="125"/>
      <c r="V191" s="125"/>
      <c r="W191" s="125"/>
      <c r="X191" s="125"/>
      <c r="Y191" s="125"/>
      <c r="Z191" s="125"/>
      <c r="AA191" s="125"/>
      <c r="AB191" s="125"/>
    </row>
    <row r="192" spans="1:28" ht="15.75" customHeight="1">
      <c r="A192" s="125"/>
      <c r="B192" s="125"/>
      <c r="C192" s="125"/>
      <c r="D192" s="4"/>
      <c r="E192" s="125"/>
      <c r="F192" s="125"/>
      <c r="G192" s="125"/>
      <c r="H192" s="125"/>
      <c r="I192" s="125"/>
      <c r="J192" s="125"/>
      <c r="K192" s="125"/>
      <c r="L192" s="125"/>
      <c r="M192" s="125"/>
      <c r="N192" s="125"/>
      <c r="O192" s="125"/>
      <c r="P192" s="4"/>
      <c r="Q192" s="125"/>
      <c r="R192" s="125"/>
      <c r="S192" s="125"/>
      <c r="T192" s="125"/>
      <c r="U192" s="125"/>
      <c r="V192" s="125"/>
      <c r="W192" s="125"/>
      <c r="X192" s="125"/>
      <c r="Y192" s="125"/>
      <c r="Z192" s="125"/>
      <c r="AA192" s="125"/>
      <c r="AB192" s="125"/>
    </row>
    <row r="193" spans="1:28" ht="15.75" customHeight="1">
      <c r="A193" s="125"/>
      <c r="B193" s="125"/>
      <c r="C193" s="125"/>
      <c r="D193" s="4"/>
      <c r="E193" s="125"/>
      <c r="F193" s="125"/>
      <c r="G193" s="125"/>
      <c r="H193" s="125"/>
      <c r="I193" s="125"/>
      <c r="J193" s="125"/>
      <c r="K193" s="125"/>
      <c r="L193" s="125"/>
      <c r="M193" s="125"/>
      <c r="N193" s="125"/>
      <c r="O193" s="125"/>
      <c r="P193" s="4"/>
      <c r="Q193" s="125"/>
      <c r="R193" s="125"/>
      <c r="S193" s="125"/>
      <c r="T193" s="125"/>
      <c r="U193" s="125"/>
      <c r="V193" s="125"/>
      <c r="W193" s="125"/>
      <c r="X193" s="125"/>
      <c r="Y193" s="125"/>
      <c r="Z193" s="125"/>
      <c r="AA193" s="125"/>
      <c r="AB193" s="125"/>
    </row>
    <row r="194" spans="1:28" ht="15.75" customHeight="1">
      <c r="A194" s="125"/>
      <c r="B194" s="125"/>
      <c r="C194" s="125"/>
      <c r="D194" s="4"/>
      <c r="E194" s="125"/>
      <c r="F194" s="125"/>
      <c r="G194" s="125"/>
      <c r="H194" s="125"/>
      <c r="I194" s="125"/>
      <c r="J194" s="125"/>
      <c r="K194" s="125"/>
      <c r="L194" s="125"/>
      <c r="M194" s="125"/>
      <c r="N194" s="125"/>
      <c r="O194" s="125"/>
      <c r="P194" s="4"/>
      <c r="Q194" s="125"/>
      <c r="R194" s="125"/>
      <c r="S194" s="125"/>
      <c r="T194" s="125"/>
      <c r="U194" s="125"/>
      <c r="V194" s="125"/>
      <c r="W194" s="125"/>
      <c r="X194" s="125"/>
      <c r="Y194" s="125"/>
      <c r="Z194" s="125"/>
      <c r="AA194" s="125"/>
      <c r="AB194" s="125"/>
    </row>
    <row r="195" spans="1:28" ht="15.75" customHeight="1">
      <c r="A195" s="125"/>
      <c r="B195" s="125"/>
      <c r="C195" s="125"/>
      <c r="D195" s="4"/>
      <c r="E195" s="125"/>
      <c r="F195" s="125"/>
      <c r="G195" s="125"/>
      <c r="H195" s="125"/>
      <c r="I195" s="125"/>
      <c r="J195" s="125"/>
      <c r="K195" s="125"/>
      <c r="L195" s="125"/>
      <c r="M195" s="125"/>
      <c r="N195" s="125"/>
      <c r="O195" s="125"/>
      <c r="P195" s="4"/>
      <c r="Q195" s="125"/>
      <c r="R195" s="125"/>
      <c r="S195" s="125"/>
      <c r="T195" s="125"/>
      <c r="U195" s="125"/>
      <c r="V195" s="125"/>
      <c r="W195" s="125"/>
      <c r="X195" s="125"/>
      <c r="Y195" s="125"/>
      <c r="Z195" s="125"/>
      <c r="AA195" s="125"/>
      <c r="AB195" s="125"/>
    </row>
    <row r="196" spans="1:28" ht="15.75" customHeight="1">
      <c r="A196" s="125"/>
      <c r="B196" s="125"/>
      <c r="C196" s="125"/>
      <c r="D196" s="4"/>
      <c r="E196" s="125"/>
      <c r="F196" s="125"/>
      <c r="G196" s="125"/>
      <c r="H196" s="125"/>
      <c r="I196" s="125"/>
      <c r="J196" s="125"/>
      <c r="K196" s="125"/>
      <c r="L196" s="125"/>
      <c r="M196" s="125"/>
      <c r="N196" s="125"/>
      <c r="O196" s="125"/>
      <c r="P196" s="4"/>
      <c r="Q196" s="125"/>
      <c r="R196" s="125"/>
      <c r="S196" s="125"/>
      <c r="T196" s="125"/>
      <c r="U196" s="125"/>
      <c r="V196" s="125"/>
      <c r="W196" s="125"/>
      <c r="X196" s="125"/>
      <c r="Y196" s="125"/>
      <c r="Z196" s="125"/>
      <c r="AA196" s="125"/>
      <c r="AB196" s="125"/>
    </row>
    <row r="197" spans="1:28" ht="15.75" customHeight="1">
      <c r="A197" s="125"/>
      <c r="B197" s="125"/>
      <c r="C197" s="125"/>
      <c r="D197" s="4"/>
      <c r="E197" s="125"/>
      <c r="F197" s="125"/>
      <c r="G197" s="125"/>
      <c r="H197" s="125"/>
      <c r="I197" s="125"/>
      <c r="J197" s="125"/>
      <c r="K197" s="125"/>
      <c r="L197" s="125"/>
      <c r="M197" s="125"/>
      <c r="N197" s="125"/>
      <c r="O197" s="125"/>
      <c r="P197" s="4"/>
      <c r="Q197" s="125"/>
      <c r="R197" s="125"/>
      <c r="S197" s="125"/>
      <c r="T197" s="125"/>
      <c r="U197" s="125"/>
      <c r="V197" s="125"/>
      <c r="W197" s="125"/>
      <c r="X197" s="125"/>
      <c r="Y197" s="125"/>
      <c r="Z197" s="125"/>
      <c r="AA197" s="125"/>
      <c r="AB197" s="125"/>
    </row>
    <row r="198" spans="1:28" ht="15.75" customHeight="1">
      <c r="A198" s="125"/>
      <c r="B198" s="125"/>
      <c r="C198" s="125"/>
      <c r="D198" s="4"/>
      <c r="E198" s="125"/>
      <c r="F198" s="125"/>
      <c r="G198" s="125"/>
      <c r="H198" s="125"/>
      <c r="I198" s="125"/>
      <c r="J198" s="125"/>
      <c r="K198" s="125"/>
      <c r="L198" s="125"/>
      <c r="M198" s="125"/>
      <c r="N198" s="125"/>
      <c r="O198" s="125"/>
      <c r="P198" s="4"/>
      <c r="Q198" s="125"/>
      <c r="R198" s="125"/>
      <c r="S198" s="125"/>
      <c r="T198" s="125"/>
      <c r="U198" s="125"/>
      <c r="V198" s="125"/>
      <c r="W198" s="125"/>
      <c r="X198" s="125"/>
      <c r="Y198" s="125"/>
      <c r="Z198" s="125"/>
      <c r="AA198" s="125"/>
      <c r="AB198" s="125"/>
    </row>
    <row r="199" spans="1:28" ht="15.75" customHeight="1">
      <c r="A199" s="125"/>
      <c r="B199" s="125"/>
      <c r="C199" s="125"/>
      <c r="D199" s="4"/>
      <c r="E199" s="125"/>
      <c r="F199" s="125"/>
      <c r="G199" s="125"/>
      <c r="H199" s="125"/>
      <c r="I199" s="125"/>
      <c r="J199" s="125"/>
      <c r="K199" s="125"/>
      <c r="L199" s="125"/>
      <c r="M199" s="125"/>
      <c r="N199" s="125"/>
      <c r="O199" s="125"/>
      <c r="P199" s="4"/>
      <c r="Q199" s="125"/>
      <c r="R199" s="125"/>
      <c r="S199" s="125"/>
      <c r="T199" s="125"/>
      <c r="U199" s="125"/>
      <c r="V199" s="125"/>
      <c r="W199" s="125"/>
      <c r="X199" s="125"/>
      <c r="Y199" s="125"/>
      <c r="Z199" s="125"/>
      <c r="AA199" s="125"/>
      <c r="AB199" s="125"/>
    </row>
    <row r="200" spans="1:28" ht="15.75" customHeight="1">
      <c r="A200" s="125"/>
      <c r="B200" s="125"/>
      <c r="C200" s="125"/>
      <c r="D200" s="4"/>
      <c r="E200" s="125"/>
      <c r="F200" s="125"/>
      <c r="G200" s="125"/>
      <c r="H200" s="125"/>
      <c r="I200" s="125"/>
      <c r="J200" s="125"/>
      <c r="K200" s="125"/>
      <c r="L200" s="125"/>
      <c r="M200" s="125"/>
      <c r="N200" s="125"/>
      <c r="O200" s="125"/>
      <c r="P200" s="4"/>
      <c r="Q200" s="125"/>
      <c r="R200" s="125"/>
      <c r="S200" s="125"/>
      <c r="T200" s="125"/>
      <c r="U200" s="125"/>
      <c r="V200" s="125"/>
      <c r="W200" s="125"/>
      <c r="X200" s="125"/>
      <c r="Y200" s="125"/>
      <c r="Z200" s="125"/>
      <c r="AA200" s="125"/>
      <c r="AB200" s="125"/>
    </row>
    <row r="201" spans="1:28" ht="15.75" customHeight="1">
      <c r="A201" s="125"/>
      <c r="B201" s="125"/>
      <c r="C201" s="125"/>
      <c r="D201" s="4"/>
      <c r="E201" s="125"/>
      <c r="F201" s="125"/>
      <c r="G201" s="125"/>
      <c r="H201" s="125"/>
      <c r="I201" s="125"/>
      <c r="J201" s="125"/>
      <c r="K201" s="125"/>
      <c r="L201" s="125"/>
      <c r="M201" s="125"/>
      <c r="N201" s="125"/>
      <c r="O201" s="125"/>
      <c r="P201" s="4"/>
      <c r="Q201" s="125"/>
      <c r="R201" s="125"/>
      <c r="S201" s="125"/>
      <c r="T201" s="125"/>
      <c r="U201" s="125"/>
      <c r="V201" s="125"/>
      <c r="W201" s="125"/>
      <c r="X201" s="125"/>
      <c r="Y201" s="125"/>
      <c r="Z201" s="125"/>
      <c r="AA201" s="125"/>
      <c r="AB201" s="125"/>
    </row>
    <row r="202" spans="1:28" ht="15.75" customHeight="1">
      <c r="A202" s="125"/>
      <c r="B202" s="125"/>
      <c r="C202" s="125"/>
      <c r="D202" s="4"/>
      <c r="E202" s="125"/>
      <c r="F202" s="125"/>
      <c r="G202" s="125"/>
      <c r="H202" s="125"/>
      <c r="I202" s="125"/>
      <c r="J202" s="125"/>
      <c r="K202" s="125"/>
      <c r="L202" s="125"/>
      <c r="M202" s="125"/>
      <c r="N202" s="125"/>
      <c r="O202" s="125"/>
      <c r="P202" s="4"/>
      <c r="Q202" s="125"/>
      <c r="R202" s="125"/>
      <c r="S202" s="125"/>
      <c r="T202" s="125"/>
      <c r="U202" s="125"/>
      <c r="V202" s="125"/>
      <c r="W202" s="125"/>
      <c r="X202" s="125"/>
      <c r="Y202" s="125"/>
      <c r="Z202" s="125"/>
      <c r="AA202" s="125"/>
      <c r="AB202" s="125"/>
    </row>
    <row r="203" spans="1:28" ht="15.75" customHeight="1">
      <c r="A203" s="125"/>
      <c r="B203" s="125"/>
      <c r="C203" s="125"/>
      <c r="D203" s="4"/>
      <c r="E203" s="125"/>
      <c r="F203" s="125"/>
      <c r="G203" s="125"/>
      <c r="H203" s="125"/>
      <c r="I203" s="125"/>
      <c r="J203" s="125"/>
      <c r="K203" s="125"/>
      <c r="L203" s="125"/>
      <c r="M203" s="125"/>
      <c r="N203" s="125"/>
      <c r="O203" s="125"/>
      <c r="P203" s="4"/>
      <c r="Q203" s="125"/>
      <c r="R203" s="125"/>
      <c r="S203" s="125"/>
      <c r="T203" s="125"/>
      <c r="U203" s="125"/>
      <c r="V203" s="125"/>
      <c r="W203" s="125"/>
      <c r="X203" s="125"/>
      <c r="Y203" s="125"/>
      <c r="Z203" s="125"/>
      <c r="AA203" s="125"/>
      <c r="AB203" s="125"/>
    </row>
    <row r="204" spans="1:28" ht="15.75" customHeight="1">
      <c r="A204" s="125"/>
      <c r="B204" s="125"/>
      <c r="C204" s="125"/>
      <c r="D204" s="4"/>
      <c r="E204" s="125"/>
      <c r="F204" s="125"/>
      <c r="G204" s="125"/>
      <c r="H204" s="125"/>
      <c r="I204" s="125"/>
      <c r="J204" s="125"/>
      <c r="K204" s="125"/>
      <c r="L204" s="125"/>
      <c r="M204" s="125"/>
      <c r="N204" s="125"/>
      <c r="O204" s="125"/>
      <c r="P204" s="4"/>
      <c r="Q204" s="125"/>
      <c r="R204" s="125"/>
      <c r="S204" s="125"/>
      <c r="T204" s="125"/>
      <c r="U204" s="125"/>
      <c r="V204" s="125"/>
      <c r="W204" s="125"/>
      <c r="X204" s="125"/>
      <c r="Y204" s="125"/>
      <c r="Z204" s="125"/>
      <c r="AA204" s="125"/>
      <c r="AB204" s="125"/>
    </row>
    <row r="205" spans="1:28" ht="15.75" customHeight="1">
      <c r="A205" s="125"/>
      <c r="B205" s="125"/>
      <c r="C205" s="125"/>
      <c r="D205" s="4"/>
      <c r="E205" s="125"/>
      <c r="F205" s="125"/>
      <c r="G205" s="125"/>
      <c r="H205" s="125"/>
      <c r="I205" s="125"/>
      <c r="J205" s="125"/>
      <c r="K205" s="125"/>
      <c r="L205" s="125"/>
      <c r="M205" s="125"/>
      <c r="N205" s="125"/>
      <c r="O205" s="125"/>
      <c r="P205" s="4"/>
      <c r="Q205" s="125"/>
      <c r="R205" s="125"/>
      <c r="S205" s="125"/>
      <c r="T205" s="125"/>
      <c r="U205" s="125"/>
      <c r="V205" s="125"/>
      <c r="W205" s="125"/>
      <c r="X205" s="125"/>
      <c r="Y205" s="125"/>
      <c r="Z205" s="125"/>
      <c r="AA205" s="125"/>
      <c r="AB205" s="125"/>
    </row>
    <row r="206" spans="1:28" ht="15.75" customHeight="1">
      <c r="A206" s="125"/>
      <c r="B206" s="125"/>
      <c r="C206" s="125"/>
      <c r="D206" s="4"/>
      <c r="E206" s="125"/>
      <c r="F206" s="125"/>
      <c r="G206" s="125"/>
      <c r="H206" s="125"/>
      <c r="I206" s="125"/>
      <c r="J206" s="125"/>
      <c r="K206" s="125"/>
      <c r="L206" s="125"/>
      <c r="M206" s="125"/>
      <c r="N206" s="125"/>
      <c r="O206" s="125"/>
      <c r="P206" s="4"/>
      <c r="Q206" s="125"/>
      <c r="R206" s="125"/>
      <c r="S206" s="125"/>
      <c r="T206" s="125"/>
      <c r="U206" s="125"/>
      <c r="V206" s="125"/>
      <c r="W206" s="125"/>
      <c r="X206" s="125"/>
      <c r="Y206" s="125"/>
      <c r="Z206" s="125"/>
      <c r="AA206" s="125"/>
      <c r="AB206" s="125"/>
    </row>
    <row r="207" spans="1:28" ht="15.75" customHeight="1">
      <c r="A207" s="125"/>
      <c r="B207" s="125"/>
      <c r="C207" s="125"/>
      <c r="D207" s="4"/>
      <c r="E207" s="125"/>
      <c r="F207" s="125"/>
      <c r="G207" s="125"/>
      <c r="H207" s="125"/>
      <c r="I207" s="125"/>
      <c r="J207" s="125"/>
      <c r="K207" s="125"/>
      <c r="L207" s="125"/>
      <c r="M207" s="125"/>
      <c r="N207" s="125"/>
      <c r="O207" s="125"/>
      <c r="P207" s="4"/>
      <c r="Q207" s="125"/>
      <c r="R207" s="125"/>
      <c r="S207" s="125"/>
      <c r="T207" s="125"/>
      <c r="U207" s="125"/>
      <c r="V207" s="125"/>
      <c r="W207" s="125"/>
      <c r="X207" s="125"/>
      <c r="Y207" s="125"/>
      <c r="Z207" s="125"/>
      <c r="AA207" s="125"/>
      <c r="AB207" s="125"/>
    </row>
    <row r="208" spans="1:28" ht="15.75" customHeight="1">
      <c r="A208" s="125"/>
      <c r="B208" s="125"/>
      <c r="C208" s="125"/>
      <c r="D208" s="4"/>
      <c r="E208" s="125"/>
      <c r="F208" s="125"/>
      <c r="G208" s="125"/>
      <c r="H208" s="125"/>
      <c r="I208" s="125"/>
      <c r="J208" s="125"/>
      <c r="K208" s="125"/>
      <c r="L208" s="125"/>
      <c r="M208" s="125"/>
      <c r="N208" s="125"/>
      <c r="O208" s="125"/>
      <c r="P208" s="4"/>
      <c r="Q208" s="125"/>
      <c r="R208" s="125"/>
      <c r="S208" s="125"/>
      <c r="T208" s="125"/>
      <c r="U208" s="125"/>
      <c r="V208" s="125"/>
      <c r="W208" s="125"/>
      <c r="X208" s="125"/>
      <c r="Y208" s="125"/>
      <c r="Z208" s="125"/>
      <c r="AA208" s="125"/>
      <c r="AB208" s="125"/>
    </row>
    <row r="209" spans="1:28" ht="15.75" customHeight="1">
      <c r="A209" s="125"/>
      <c r="B209" s="125"/>
      <c r="C209" s="125"/>
      <c r="D209" s="4"/>
      <c r="E209" s="125"/>
      <c r="F209" s="125"/>
      <c r="G209" s="125"/>
      <c r="H209" s="125"/>
      <c r="I209" s="125"/>
      <c r="J209" s="125"/>
      <c r="K209" s="125"/>
      <c r="L209" s="125"/>
      <c r="M209" s="125"/>
      <c r="N209" s="125"/>
      <c r="O209" s="125"/>
      <c r="P209" s="4"/>
      <c r="Q209" s="125"/>
      <c r="R209" s="125"/>
      <c r="S209" s="125"/>
      <c r="T209" s="125"/>
      <c r="U209" s="125"/>
      <c r="V209" s="125"/>
      <c r="W209" s="125"/>
      <c r="X209" s="125"/>
      <c r="Y209" s="125"/>
      <c r="Z209" s="125"/>
      <c r="AA209" s="125"/>
      <c r="AB209" s="125"/>
    </row>
    <row r="210" spans="1:28" ht="15.75" customHeight="1">
      <c r="A210" s="125"/>
      <c r="B210" s="125"/>
      <c r="C210" s="125"/>
      <c r="D210" s="4"/>
      <c r="E210" s="125"/>
      <c r="F210" s="125"/>
      <c r="G210" s="125"/>
      <c r="H210" s="125"/>
      <c r="I210" s="125"/>
      <c r="J210" s="125"/>
      <c r="K210" s="125"/>
      <c r="L210" s="125"/>
      <c r="M210" s="125"/>
      <c r="N210" s="125"/>
      <c r="O210" s="125"/>
      <c r="P210" s="4"/>
      <c r="Q210" s="125"/>
      <c r="R210" s="125"/>
      <c r="S210" s="125"/>
      <c r="T210" s="125"/>
      <c r="U210" s="125"/>
      <c r="V210" s="125"/>
      <c r="W210" s="125"/>
      <c r="X210" s="125"/>
      <c r="Y210" s="125"/>
      <c r="Z210" s="125"/>
      <c r="AA210" s="125"/>
      <c r="AB210" s="125"/>
    </row>
    <row r="211" spans="1:28" ht="15.75" customHeight="1">
      <c r="A211" s="125"/>
      <c r="B211" s="125"/>
      <c r="C211" s="125"/>
      <c r="D211" s="4"/>
      <c r="E211" s="125"/>
      <c r="F211" s="125"/>
      <c r="G211" s="125"/>
      <c r="H211" s="125"/>
      <c r="I211" s="125"/>
      <c r="J211" s="125"/>
      <c r="K211" s="125"/>
      <c r="L211" s="125"/>
      <c r="M211" s="125"/>
      <c r="N211" s="125"/>
      <c r="O211" s="125"/>
      <c r="P211" s="4"/>
      <c r="Q211" s="125"/>
      <c r="R211" s="125"/>
      <c r="S211" s="125"/>
      <c r="T211" s="125"/>
      <c r="U211" s="125"/>
      <c r="V211" s="125"/>
      <c r="W211" s="125"/>
      <c r="X211" s="125"/>
      <c r="Y211" s="125"/>
      <c r="Z211" s="125"/>
      <c r="AA211" s="125"/>
      <c r="AB211" s="125"/>
    </row>
    <row r="212" spans="1:28" ht="15.75" customHeight="1">
      <c r="A212" s="125"/>
      <c r="B212" s="125"/>
      <c r="C212" s="125"/>
      <c r="D212" s="4"/>
      <c r="E212" s="125"/>
      <c r="F212" s="125"/>
      <c r="G212" s="125"/>
      <c r="H212" s="125"/>
      <c r="I212" s="125"/>
      <c r="J212" s="125"/>
      <c r="K212" s="125"/>
      <c r="L212" s="125"/>
      <c r="M212" s="125"/>
      <c r="N212" s="125"/>
      <c r="O212" s="125"/>
      <c r="P212" s="4"/>
      <c r="Q212" s="125"/>
      <c r="R212" s="125"/>
      <c r="S212" s="125"/>
      <c r="T212" s="125"/>
      <c r="U212" s="125"/>
      <c r="V212" s="125"/>
      <c r="W212" s="125"/>
      <c r="X212" s="125"/>
      <c r="Y212" s="125"/>
      <c r="Z212" s="125"/>
      <c r="AA212" s="125"/>
      <c r="AB212" s="125"/>
    </row>
    <row r="213" spans="1:28" ht="15.75" customHeight="1">
      <c r="A213" s="125"/>
      <c r="B213" s="125"/>
      <c r="C213" s="125"/>
      <c r="D213" s="4"/>
      <c r="E213" s="125"/>
      <c r="F213" s="125"/>
      <c r="G213" s="125"/>
      <c r="H213" s="125"/>
      <c r="I213" s="125"/>
      <c r="J213" s="125"/>
      <c r="K213" s="125"/>
      <c r="L213" s="125"/>
      <c r="M213" s="125"/>
      <c r="N213" s="125"/>
      <c r="O213" s="125"/>
      <c r="P213" s="4"/>
      <c r="Q213" s="125"/>
      <c r="R213" s="125"/>
      <c r="S213" s="125"/>
      <c r="T213" s="125"/>
      <c r="U213" s="125"/>
      <c r="V213" s="125"/>
      <c r="W213" s="125"/>
      <c r="X213" s="125"/>
      <c r="Y213" s="125"/>
      <c r="Z213" s="125"/>
      <c r="AA213" s="125"/>
      <c r="AB213" s="125"/>
    </row>
    <row r="214" spans="1:28" ht="15.75" customHeight="1">
      <c r="A214" s="125"/>
      <c r="B214" s="125"/>
      <c r="C214" s="125"/>
      <c r="D214" s="4"/>
      <c r="E214" s="125"/>
      <c r="F214" s="125"/>
      <c r="G214" s="125"/>
      <c r="H214" s="125"/>
      <c r="I214" s="125"/>
      <c r="J214" s="125"/>
      <c r="K214" s="125"/>
      <c r="L214" s="125"/>
      <c r="M214" s="125"/>
      <c r="N214" s="125"/>
      <c r="O214" s="125"/>
      <c r="P214" s="4"/>
      <c r="Q214" s="125"/>
      <c r="R214" s="125"/>
      <c r="S214" s="125"/>
      <c r="T214" s="125"/>
      <c r="U214" s="125"/>
      <c r="V214" s="125"/>
      <c r="W214" s="125"/>
      <c r="X214" s="125"/>
      <c r="Y214" s="125"/>
      <c r="Z214" s="125"/>
      <c r="AA214" s="125"/>
      <c r="AB214" s="125"/>
    </row>
    <row r="215" spans="1:28" ht="15.75" customHeight="1">
      <c r="A215" s="125"/>
      <c r="B215" s="125"/>
      <c r="C215" s="125"/>
      <c r="D215" s="4"/>
      <c r="E215" s="125"/>
      <c r="F215" s="125"/>
      <c r="G215" s="125"/>
      <c r="H215" s="125"/>
      <c r="I215" s="125"/>
      <c r="J215" s="125"/>
      <c r="K215" s="125"/>
      <c r="L215" s="125"/>
      <c r="M215" s="125"/>
      <c r="N215" s="125"/>
      <c r="O215" s="125"/>
      <c r="P215" s="4"/>
      <c r="Q215" s="125"/>
      <c r="R215" s="125"/>
      <c r="S215" s="125"/>
      <c r="T215" s="125"/>
      <c r="U215" s="125"/>
      <c r="V215" s="125"/>
      <c r="W215" s="125"/>
      <c r="X215" s="125"/>
      <c r="Y215" s="125"/>
      <c r="Z215" s="125"/>
      <c r="AA215" s="125"/>
      <c r="AB215" s="125"/>
    </row>
    <row r="216" spans="1:28" ht="15.75" customHeight="1">
      <c r="A216" s="125"/>
      <c r="B216" s="125"/>
      <c r="C216" s="125"/>
      <c r="D216" s="4"/>
      <c r="E216" s="125"/>
      <c r="F216" s="125"/>
      <c r="G216" s="125"/>
      <c r="H216" s="125"/>
      <c r="I216" s="125"/>
      <c r="J216" s="125"/>
      <c r="K216" s="125"/>
      <c r="L216" s="125"/>
      <c r="M216" s="125"/>
      <c r="N216" s="125"/>
      <c r="O216" s="125"/>
      <c r="P216" s="4"/>
      <c r="Q216" s="125"/>
      <c r="R216" s="125"/>
      <c r="S216" s="125"/>
      <c r="T216" s="125"/>
      <c r="U216" s="125"/>
      <c r="V216" s="125"/>
      <c r="W216" s="125"/>
      <c r="X216" s="125"/>
      <c r="Y216" s="125"/>
      <c r="Z216" s="125"/>
      <c r="AA216" s="125"/>
      <c r="AB216" s="125"/>
    </row>
    <row r="217" spans="1:28" ht="15.75" customHeight="1">
      <c r="A217" s="125"/>
      <c r="B217" s="125"/>
      <c r="C217" s="125"/>
      <c r="D217" s="4"/>
      <c r="E217" s="125"/>
      <c r="F217" s="125"/>
      <c r="G217" s="125"/>
      <c r="H217" s="125"/>
      <c r="I217" s="125"/>
      <c r="J217" s="125"/>
      <c r="K217" s="125"/>
      <c r="L217" s="125"/>
      <c r="M217" s="125"/>
      <c r="N217" s="125"/>
      <c r="O217" s="125"/>
      <c r="P217" s="4"/>
      <c r="Q217" s="125"/>
      <c r="R217" s="125"/>
      <c r="S217" s="125"/>
      <c r="T217" s="125"/>
      <c r="U217" s="125"/>
      <c r="V217" s="125"/>
      <c r="W217" s="125"/>
      <c r="X217" s="125"/>
      <c r="Y217" s="125"/>
      <c r="Z217" s="125"/>
      <c r="AA217" s="125"/>
      <c r="AB217" s="125"/>
    </row>
    <row r="218" spans="1:28" ht="15.75" customHeight="1">
      <c r="A218" s="125"/>
      <c r="B218" s="125"/>
      <c r="C218" s="125"/>
      <c r="D218" s="4"/>
      <c r="E218" s="125"/>
      <c r="F218" s="125"/>
      <c r="G218" s="125"/>
      <c r="H218" s="125"/>
      <c r="I218" s="125"/>
      <c r="J218" s="125"/>
      <c r="K218" s="125"/>
      <c r="L218" s="125"/>
      <c r="M218" s="125"/>
      <c r="N218" s="125"/>
      <c r="O218" s="125"/>
      <c r="P218" s="4"/>
      <c r="Q218" s="125"/>
      <c r="R218" s="125"/>
      <c r="S218" s="125"/>
      <c r="T218" s="125"/>
      <c r="U218" s="125"/>
      <c r="V218" s="125"/>
      <c r="W218" s="125"/>
      <c r="X218" s="125"/>
      <c r="Y218" s="125"/>
      <c r="Z218" s="125"/>
      <c r="AA218" s="125"/>
      <c r="AB218" s="125"/>
    </row>
    <row r="219" spans="1:28" ht="15.75" customHeight="1">
      <c r="A219" s="125"/>
      <c r="B219" s="125"/>
      <c r="C219" s="125"/>
      <c r="D219" s="4"/>
      <c r="E219" s="125"/>
      <c r="F219" s="125"/>
      <c r="G219" s="125"/>
      <c r="H219" s="125"/>
      <c r="I219" s="125"/>
      <c r="J219" s="125"/>
      <c r="K219" s="125"/>
      <c r="L219" s="125"/>
      <c r="M219" s="125"/>
      <c r="N219" s="125"/>
      <c r="O219" s="125"/>
      <c r="P219" s="4"/>
      <c r="Q219" s="125"/>
      <c r="R219" s="125"/>
      <c r="S219" s="125"/>
      <c r="T219" s="125"/>
      <c r="U219" s="125"/>
      <c r="V219" s="125"/>
      <c r="W219" s="125"/>
      <c r="X219" s="125"/>
      <c r="Y219" s="125"/>
      <c r="Z219" s="125"/>
      <c r="AA219" s="125"/>
      <c r="AB219" s="125"/>
    </row>
    <row r="220" spans="1:28" ht="15.75" customHeight="1">
      <c r="A220" s="125"/>
      <c r="B220" s="125"/>
      <c r="C220" s="125"/>
      <c r="D220" s="4"/>
      <c r="E220" s="125"/>
      <c r="F220" s="125"/>
      <c r="G220" s="125"/>
      <c r="H220" s="125"/>
      <c r="I220" s="125"/>
      <c r="J220" s="125"/>
      <c r="K220" s="125"/>
      <c r="L220" s="125"/>
      <c r="M220" s="125"/>
      <c r="N220" s="125"/>
      <c r="O220" s="125"/>
      <c r="P220" s="4"/>
      <c r="Q220" s="125"/>
      <c r="R220" s="125"/>
      <c r="S220" s="125"/>
      <c r="T220" s="125"/>
      <c r="U220" s="125"/>
      <c r="V220" s="125"/>
      <c r="W220" s="125"/>
      <c r="X220" s="125"/>
      <c r="Y220" s="125"/>
      <c r="Z220" s="125"/>
      <c r="AA220" s="125"/>
      <c r="AB220" s="125"/>
    </row>
    <row r="221" spans="1:28" ht="15.75" customHeight="1">
      <c r="A221" s="125"/>
      <c r="B221" s="125"/>
      <c r="C221" s="125"/>
      <c r="D221" s="4"/>
      <c r="E221" s="125"/>
      <c r="F221" s="125"/>
      <c r="G221" s="125"/>
      <c r="H221" s="125"/>
      <c r="I221" s="125"/>
      <c r="J221" s="125"/>
      <c r="K221" s="125"/>
      <c r="L221" s="125"/>
      <c r="M221" s="125"/>
      <c r="N221" s="125"/>
      <c r="O221" s="125"/>
      <c r="P221" s="4"/>
      <c r="Q221" s="125"/>
      <c r="R221" s="125"/>
      <c r="S221" s="125"/>
      <c r="T221" s="125"/>
      <c r="U221" s="125"/>
      <c r="V221" s="125"/>
      <c r="W221" s="125"/>
      <c r="X221" s="125"/>
      <c r="Y221" s="125"/>
      <c r="Z221" s="125"/>
      <c r="AA221" s="125"/>
      <c r="AB221" s="125"/>
    </row>
    <row r="222" spans="1:28" ht="15.75" customHeight="1">
      <c r="A222" s="125"/>
      <c r="B222" s="125"/>
      <c r="C222" s="125"/>
      <c r="D222" s="4"/>
      <c r="E222" s="125"/>
      <c r="F222" s="125"/>
      <c r="G222" s="125"/>
      <c r="H222" s="125"/>
      <c r="I222" s="125"/>
      <c r="J222" s="125"/>
      <c r="K222" s="125"/>
      <c r="L222" s="125"/>
      <c r="M222" s="125"/>
      <c r="N222" s="125"/>
      <c r="O222" s="125"/>
      <c r="P222" s="4"/>
      <c r="Q222" s="125"/>
      <c r="R222" s="125"/>
      <c r="S222" s="125"/>
      <c r="T222" s="125"/>
      <c r="U222" s="125"/>
      <c r="V222" s="125"/>
      <c r="W222" s="125"/>
      <c r="X222" s="125"/>
      <c r="Y222" s="125"/>
      <c r="Z222" s="125"/>
      <c r="AA222" s="125"/>
      <c r="AB222" s="125"/>
    </row>
    <row r="223" spans="1:28" ht="15.75" customHeight="1">
      <c r="A223" s="125"/>
      <c r="B223" s="125"/>
      <c r="C223" s="125"/>
      <c r="D223" s="4"/>
      <c r="E223" s="125"/>
      <c r="F223" s="125"/>
      <c r="G223" s="125"/>
      <c r="H223" s="125"/>
      <c r="I223" s="125"/>
      <c r="J223" s="125"/>
      <c r="K223" s="125"/>
      <c r="L223" s="125"/>
      <c r="M223" s="125"/>
      <c r="N223" s="125"/>
      <c r="O223" s="125"/>
      <c r="P223" s="4"/>
      <c r="Q223" s="125"/>
      <c r="R223" s="125"/>
      <c r="S223" s="125"/>
      <c r="T223" s="125"/>
      <c r="U223" s="125"/>
      <c r="V223" s="125"/>
      <c r="W223" s="125"/>
      <c r="X223" s="125"/>
      <c r="Y223" s="125"/>
      <c r="Z223" s="125"/>
      <c r="AA223" s="125"/>
      <c r="AB223" s="125"/>
    </row>
    <row r="224" spans="1:28" ht="15.75" customHeight="1">
      <c r="A224" s="125"/>
      <c r="B224" s="125"/>
      <c r="C224" s="125"/>
      <c r="D224" s="4"/>
      <c r="E224" s="125"/>
      <c r="F224" s="125"/>
      <c r="G224" s="125"/>
      <c r="H224" s="125"/>
      <c r="I224" s="125"/>
      <c r="J224" s="125"/>
      <c r="K224" s="125"/>
      <c r="L224" s="125"/>
      <c r="M224" s="125"/>
      <c r="N224" s="125"/>
      <c r="O224" s="125"/>
      <c r="P224" s="4"/>
      <c r="Q224" s="125"/>
      <c r="R224" s="125"/>
      <c r="S224" s="125"/>
      <c r="T224" s="125"/>
      <c r="U224" s="125"/>
      <c r="V224" s="125"/>
      <c r="W224" s="125"/>
      <c r="X224" s="125"/>
      <c r="Y224" s="125"/>
      <c r="Z224" s="125"/>
      <c r="AA224" s="125"/>
      <c r="AB224" s="125"/>
    </row>
    <row r="225" spans="1:28" ht="15.75" customHeight="1">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c r="AA225" s="125"/>
      <c r="AB225" s="125"/>
    </row>
    <row r="226" spans="1:28" ht="15.75" customHeight="1">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c r="AA226" s="125"/>
      <c r="AB226" s="125"/>
    </row>
    <row r="227" spans="1:28" ht="15.75" customHeight="1">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c r="AA227" s="125"/>
      <c r="AB227" s="125"/>
    </row>
    <row r="228" spans="1:28" ht="15.75" customHeight="1">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c r="AA228" s="125"/>
      <c r="AB228" s="125"/>
    </row>
    <row r="229" spans="1:28" ht="15.75" customHeight="1">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c r="AA229" s="125"/>
      <c r="AB229" s="125"/>
    </row>
    <row r="230" spans="1:28" ht="15.75" customHeight="1">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c r="AA230" s="125"/>
      <c r="AB230" s="125"/>
    </row>
    <row r="231" spans="1:28" ht="15.75" customHeight="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c r="AA231" s="125"/>
      <c r="AB231" s="125"/>
    </row>
    <row r="232" spans="1:28" ht="15.75" customHeight="1">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c r="AA232" s="125"/>
      <c r="AB232" s="125"/>
    </row>
    <row r="233" spans="1:28" ht="15.75" customHeight="1">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c r="AA233" s="125"/>
      <c r="AB233" s="125"/>
    </row>
    <row r="234" spans="1:28" ht="15.75" customHeight="1">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c r="AA234" s="125"/>
      <c r="AB234" s="125"/>
    </row>
    <row r="235" spans="1:28" ht="15.75" customHeight="1">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c r="AA235" s="125"/>
      <c r="AB235" s="125"/>
    </row>
    <row r="236" spans="1:28" ht="15.75" customHeight="1">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c r="AA236" s="125"/>
      <c r="AB236" s="125"/>
    </row>
    <row r="237" spans="1:28" ht="15.75" customHeight="1">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c r="AA237" s="125"/>
      <c r="AB237" s="125"/>
    </row>
    <row r="238" spans="1:28" ht="15.75" customHeight="1">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c r="AA238" s="125"/>
      <c r="AB238" s="125"/>
    </row>
    <row r="239" spans="1:28" ht="15.75" customHeight="1">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c r="AA239" s="125"/>
      <c r="AB239" s="125"/>
    </row>
    <row r="240" spans="1:28" ht="15.75" customHeight="1">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c r="AA240" s="125"/>
      <c r="AB240" s="125"/>
    </row>
    <row r="241" spans="1:28" ht="15.75" customHeight="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c r="AA241" s="125"/>
      <c r="AB241" s="125"/>
    </row>
    <row r="242" spans="1:28" ht="15.75" customHeight="1">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c r="AA242" s="125"/>
      <c r="AB242" s="125"/>
    </row>
    <row r="243" spans="1:28" ht="15.75" customHeight="1">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c r="AA243" s="125"/>
      <c r="AB243" s="125"/>
    </row>
    <row r="244" spans="1:28" ht="15.75" customHeight="1">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c r="AA244" s="125"/>
      <c r="AB244" s="125"/>
    </row>
    <row r="245" spans="1:28" ht="15.75" customHeight="1">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c r="AA245" s="125"/>
      <c r="AB245" s="125"/>
    </row>
    <row r="246" spans="1:28" ht="15.75" customHeight="1">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c r="AA246" s="125"/>
      <c r="AB246" s="125"/>
    </row>
    <row r="247" spans="1:28" ht="15.75" customHeight="1">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c r="AA247" s="125"/>
      <c r="AB247" s="125"/>
    </row>
    <row r="248" spans="1:28" ht="15.75" customHeight="1">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c r="AA248" s="125"/>
      <c r="AB248" s="125"/>
    </row>
    <row r="249" spans="1:28" ht="15.75" customHeight="1">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c r="AA249" s="125"/>
      <c r="AB249" s="125"/>
    </row>
    <row r="250" spans="1:28" ht="15.75" customHeight="1">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c r="AA250" s="125"/>
      <c r="AB250" s="125"/>
    </row>
    <row r="251" spans="1:28" ht="15.75" customHeight="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c r="AA251" s="125"/>
      <c r="AB251" s="125"/>
    </row>
    <row r="252" spans="1:28" ht="15.75" customHeight="1">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c r="AA252" s="125"/>
      <c r="AB252" s="125"/>
    </row>
    <row r="253" spans="1:28" ht="15.75" customHeight="1">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c r="AA253" s="125"/>
      <c r="AB253" s="125"/>
    </row>
    <row r="254" spans="1:28" ht="15.75" customHeight="1">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c r="AA254" s="125"/>
      <c r="AB254" s="125"/>
    </row>
    <row r="255" spans="1:28" ht="15.75" customHeight="1">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c r="AA255" s="125"/>
      <c r="AB255" s="125"/>
    </row>
    <row r="256" spans="1:28" ht="15.75" customHeight="1">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c r="AA256" s="125"/>
      <c r="AB256" s="125"/>
    </row>
    <row r="257" spans="1:28" ht="15.75" customHeight="1">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c r="AA257" s="125"/>
      <c r="AB257" s="125"/>
    </row>
    <row r="258" spans="1:28" ht="15.75" customHeight="1">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c r="AA258" s="125"/>
      <c r="AB258" s="125"/>
    </row>
    <row r="259" spans="1:28" ht="15.75" customHeight="1">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c r="AA259" s="125"/>
      <c r="AB259" s="125"/>
    </row>
    <row r="260" spans="1:28" ht="15.75" customHeight="1">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c r="AA260" s="125"/>
      <c r="AB260" s="125"/>
    </row>
    <row r="261" spans="1:28" ht="15.75" customHeight="1">
      <c r="A261" s="125"/>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c r="AA261" s="125"/>
      <c r="AB261" s="125"/>
    </row>
    <row r="262" spans="1:28" ht="15.75" customHeight="1">
      <c r="A262" s="125"/>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c r="AA262" s="125"/>
      <c r="AB262" s="125"/>
    </row>
    <row r="263" spans="1:28" ht="15.75" customHeight="1">
      <c r="A263" s="125"/>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c r="AA263" s="125"/>
      <c r="AB263" s="125"/>
    </row>
    <row r="264" spans="1:28" ht="15.75" customHeight="1">
      <c r="A264" s="125"/>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c r="AA264" s="125"/>
      <c r="AB264" s="125"/>
    </row>
    <row r="265" spans="1:28" ht="15.75" customHeight="1">
      <c r="A265" s="125"/>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c r="AA265" s="125"/>
      <c r="AB265" s="125"/>
    </row>
    <row r="266" spans="1:28" ht="15.75" customHeight="1">
      <c r="A266" s="125"/>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c r="AA266" s="125"/>
      <c r="AB266" s="125"/>
    </row>
    <row r="267" spans="1:28" ht="15.75" customHeight="1">
      <c r="A267" s="125"/>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c r="AA267" s="125"/>
      <c r="AB267" s="125"/>
    </row>
    <row r="268" spans="1:28" ht="15.75" customHeight="1">
      <c r="A268" s="125"/>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c r="AA268" s="125"/>
      <c r="AB268" s="125"/>
    </row>
    <row r="269" spans="1:28" ht="15.75" customHeight="1">
      <c r="A269" s="125"/>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c r="AA269" s="125"/>
      <c r="AB269" s="125"/>
    </row>
    <row r="270" spans="1:28" ht="15.75" customHeight="1">
      <c r="A270" s="125"/>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c r="AA270" s="125"/>
      <c r="AB270" s="125"/>
    </row>
    <row r="271" spans="1:28" ht="15.75" customHeight="1">
      <c r="A271" s="125"/>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c r="AA271" s="125"/>
      <c r="AB271" s="125"/>
    </row>
    <row r="272" spans="1:28" ht="15.75" customHeight="1">
      <c r="A272" s="125"/>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c r="AA272" s="125"/>
      <c r="AB272" s="125"/>
    </row>
    <row r="273" spans="1:28" ht="15.75" customHeight="1">
      <c r="A273" s="125"/>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c r="AA273" s="125"/>
      <c r="AB273" s="125"/>
    </row>
    <row r="274" spans="1:28" ht="15.75" customHeight="1">
      <c r="A274" s="125"/>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c r="AA274" s="125"/>
      <c r="AB274" s="125"/>
    </row>
    <row r="275" spans="1:28" ht="15.75" customHeight="1">
      <c r="A275" s="125"/>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c r="AA275" s="125"/>
      <c r="AB275" s="125"/>
    </row>
    <row r="276" spans="1:28" ht="15.75" customHeight="1">
      <c r="A276" s="125"/>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c r="AA276" s="125"/>
      <c r="AB276" s="125"/>
    </row>
    <row r="277" spans="1:28" ht="15.75" customHeight="1">
      <c r="A277" s="125"/>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c r="AA277" s="125"/>
      <c r="AB277" s="125"/>
    </row>
    <row r="278" spans="1:28" ht="15.75" customHeight="1">
      <c r="A278" s="125"/>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c r="AA278" s="125"/>
      <c r="AB278" s="125"/>
    </row>
    <row r="279" spans="1:28" ht="15.75" customHeight="1">
      <c r="A279" s="125"/>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c r="AA279" s="125"/>
      <c r="AB279" s="125"/>
    </row>
    <row r="280" spans="1:28" ht="15.75" customHeight="1">
      <c r="A280" s="125"/>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c r="AA280" s="125"/>
      <c r="AB280" s="125"/>
    </row>
    <row r="281" spans="1:28" ht="15.75" customHeight="1">
      <c r="A281" s="125"/>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c r="AA281" s="125"/>
      <c r="AB281" s="125"/>
    </row>
    <row r="282" spans="1:28" ht="15.75" customHeight="1">
      <c r="A282" s="125"/>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c r="AA282" s="125"/>
      <c r="AB282" s="125"/>
    </row>
    <row r="283" spans="1:28" ht="15.75" customHeight="1">
      <c r="A283" s="125"/>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c r="AA283" s="125"/>
      <c r="AB283" s="125"/>
    </row>
    <row r="284" spans="1:28" ht="15.75" customHeight="1">
      <c r="A284" s="125"/>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c r="AA284" s="125"/>
      <c r="AB284" s="125"/>
    </row>
    <row r="285" spans="1:28" ht="15.75" customHeight="1">
      <c r="A285" s="125"/>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c r="AA285" s="125"/>
      <c r="AB285" s="125"/>
    </row>
    <row r="286" spans="1:28" ht="15.75" customHeight="1">
      <c r="A286" s="125"/>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c r="AA286" s="125"/>
      <c r="AB286" s="125"/>
    </row>
    <row r="287" spans="1:28" ht="15.75" customHeight="1">
      <c r="A287" s="125"/>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c r="AA287" s="125"/>
      <c r="AB287" s="125"/>
    </row>
    <row r="288" spans="1:28" ht="15.75" customHeight="1">
      <c r="A288" s="125"/>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c r="AA288" s="125"/>
      <c r="AB288" s="125"/>
    </row>
    <row r="289" spans="1:28" ht="15.75" customHeight="1">
      <c r="A289" s="125"/>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c r="AA289" s="125"/>
      <c r="AB289" s="125"/>
    </row>
    <row r="290" spans="1:28" ht="15.75" customHeight="1">
      <c r="A290" s="125"/>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c r="AA290" s="125"/>
      <c r="AB290" s="125"/>
    </row>
    <row r="291" spans="1:28" ht="15.75" customHeight="1">
      <c r="A291" s="125"/>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c r="AA291" s="125"/>
      <c r="AB291" s="125"/>
    </row>
    <row r="292" spans="1:28" ht="15.75" customHeight="1">
      <c r="A292" s="125"/>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c r="AA292" s="125"/>
      <c r="AB292" s="125"/>
    </row>
    <row r="293" spans="1:28" ht="15.75" customHeight="1">
      <c r="A293" s="125"/>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c r="AA293" s="125"/>
      <c r="AB293" s="125"/>
    </row>
    <row r="294" spans="1:28" ht="15.75" customHeight="1">
      <c r="A294" s="125"/>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c r="AA294" s="125"/>
      <c r="AB294" s="125"/>
    </row>
    <row r="295" spans="1:28" ht="15.75" customHeight="1">
      <c r="A295" s="125"/>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c r="AA295" s="125"/>
      <c r="AB295" s="125"/>
    </row>
    <row r="296" spans="1:28" ht="15.75" customHeight="1">
      <c r="A296" s="125"/>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c r="AA296" s="125"/>
      <c r="AB296" s="125"/>
    </row>
    <row r="297" spans="1:28" ht="15.75" customHeight="1">
      <c r="A297" s="125"/>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c r="AA297" s="125"/>
      <c r="AB297" s="125"/>
    </row>
    <row r="298" spans="1:28" ht="15.75" customHeight="1">
      <c r="A298" s="125"/>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c r="AA298" s="125"/>
      <c r="AB298" s="125"/>
    </row>
    <row r="299" spans="1:28" ht="15.75" customHeight="1">
      <c r="A299" s="125"/>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c r="AA299" s="125"/>
      <c r="AB299" s="125"/>
    </row>
    <row r="300" spans="1:28" ht="15.75" customHeight="1">
      <c r="A300" s="125"/>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c r="AA300" s="125"/>
      <c r="AB300" s="125"/>
    </row>
    <row r="301" spans="1:28" ht="15.75" customHeight="1">
      <c r="A301" s="125"/>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c r="AA301" s="125"/>
      <c r="AB301" s="125"/>
    </row>
    <row r="302" spans="1:28" ht="15.75" customHeight="1">
      <c r="A302" s="125"/>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c r="AA302" s="125"/>
      <c r="AB302" s="125"/>
    </row>
    <row r="303" spans="1:28" ht="15.75" customHeight="1">
      <c r="A303" s="125"/>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c r="AA303" s="125"/>
      <c r="AB303" s="125"/>
    </row>
    <row r="304" spans="1:28" ht="15.75" customHeight="1">
      <c r="A304" s="125"/>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c r="AA304" s="125"/>
      <c r="AB304" s="125"/>
    </row>
    <row r="305" spans="1:28" ht="15.75" customHeight="1">
      <c r="A305" s="125"/>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c r="AA305" s="125"/>
      <c r="AB305" s="125"/>
    </row>
    <row r="306" spans="1:28" ht="15.75" customHeight="1">
      <c r="A306" s="125"/>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c r="AA306" s="125"/>
      <c r="AB306" s="125"/>
    </row>
    <row r="307" spans="1:28" ht="15.75" customHeight="1">
      <c r="A307" s="125"/>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c r="AA307" s="125"/>
      <c r="AB307" s="125"/>
    </row>
    <row r="308" spans="1:28" ht="15.75" customHeight="1">
      <c r="A308" s="125"/>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c r="AA308" s="125"/>
      <c r="AB308" s="125"/>
    </row>
    <row r="309" spans="1:28" ht="15.75" customHeight="1">
      <c r="A309" s="125"/>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c r="AA309" s="125"/>
      <c r="AB309" s="125"/>
    </row>
    <row r="310" spans="1:28" ht="15.75" customHeight="1">
      <c r="A310" s="125"/>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c r="AA310" s="125"/>
      <c r="AB310" s="125"/>
    </row>
    <row r="311" spans="1:28" ht="15.75" customHeight="1">
      <c r="A311" s="125"/>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c r="AA311" s="125"/>
      <c r="AB311" s="125"/>
    </row>
    <row r="312" spans="1:28" ht="15.75" customHeight="1">
      <c r="A312" s="125"/>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c r="AA312" s="125"/>
      <c r="AB312" s="125"/>
    </row>
    <row r="313" spans="1:28" ht="15.75" customHeight="1">
      <c r="A313" s="125"/>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c r="AA313" s="125"/>
      <c r="AB313" s="125"/>
    </row>
    <row r="314" spans="1:28" ht="15.75" customHeight="1">
      <c r="A314" s="125"/>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c r="AA314" s="125"/>
      <c r="AB314" s="125"/>
    </row>
    <row r="315" spans="1:28" ht="15.75" customHeight="1">
      <c r="A315" s="125"/>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c r="AA315" s="125"/>
      <c r="AB315" s="125"/>
    </row>
    <row r="316" spans="1:28" ht="15.75" customHeight="1">
      <c r="A316" s="125"/>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c r="AA316" s="125"/>
      <c r="AB316" s="125"/>
    </row>
    <row r="317" spans="1:28" ht="15.75" customHeight="1">
      <c r="A317" s="125"/>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c r="AA317" s="125"/>
      <c r="AB317" s="125"/>
    </row>
    <row r="318" spans="1:28" ht="15.75" customHeight="1">
      <c r="A318" s="125"/>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c r="AA318" s="125"/>
      <c r="AB318" s="125"/>
    </row>
    <row r="319" spans="1:28" ht="15.75" customHeight="1">
      <c r="A319" s="125"/>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c r="AA319" s="125"/>
      <c r="AB319" s="125"/>
    </row>
    <row r="320" spans="1:28" ht="15.75" customHeight="1">
      <c r="A320" s="125"/>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c r="AA320" s="125"/>
      <c r="AB320" s="125"/>
    </row>
    <row r="321" spans="1:28" ht="15.75" customHeight="1">
      <c r="A321" s="125"/>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c r="AA321" s="125"/>
      <c r="AB321" s="125"/>
    </row>
    <row r="322" spans="1:28" ht="15.75" customHeight="1">
      <c r="A322" s="125"/>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c r="AA322" s="125"/>
      <c r="AB322" s="125"/>
    </row>
    <row r="323" spans="1:28" ht="15.75" customHeight="1">
      <c r="A323" s="125"/>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c r="AA323" s="125"/>
      <c r="AB323" s="125"/>
    </row>
    <row r="324" spans="1:28" ht="15.75" customHeight="1">
      <c r="A324" s="125"/>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c r="AA324" s="125"/>
      <c r="AB324" s="125"/>
    </row>
    <row r="325" spans="1:28" ht="15.75" customHeight="1">
      <c r="A325" s="125"/>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c r="AA325" s="125"/>
      <c r="AB325" s="125"/>
    </row>
    <row r="326" spans="1:28" ht="15.75" customHeight="1">
      <c r="A326" s="125"/>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c r="AA326" s="125"/>
      <c r="AB326" s="125"/>
    </row>
    <row r="327" spans="1:28" ht="15.75" customHeight="1">
      <c r="A327" s="125"/>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c r="AA327" s="125"/>
      <c r="AB327" s="125"/>
    </row>
    <row r="328" spans="1:28" ht="15.75" customHeight="1">
      <c r="A328" s="125"/>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c r="AA328" s="125"/>
      <c r="AB328" s="125"/>
    </row>
    <row r="329" spans="1:28" ht="15.75" customHeight="1">
      <c r="A329" s="125"/>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c r="AA329" s="125"/>
      <c r="AB329" s="125"/>
    </row>
    <row r="330" spans="1:28" ht="15.75" customHeight="1">
      <c r="A330" s="125"/>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c r="AA330" s="125"/>
      <c r="AB330" s="125"/>
    </row>
    <row r="331" spans="1:28" ht="15.75" customHeight="1">
      <c r="A331" s="125"/>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c r="AA331" s="125"/>
      <c r="AB331" s="125"/>
    </row>
    <row r="332" spans="1:28" ht="15.75" customHeight="1">
      <c r="A332" s="125"/>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c r="AA332" s="125"/>
      <c r="AB332" s="125"/>
    </row>
    <row r="333" spans="1:28" ht="15.75" customHeight="1">
      <c r="A333" s="125"/>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c r="AA333" s="125"/>
      <c r="AB333" s="125"/>
    </row>
    <row r="334" spans="1:28" ht="15.75" customHeight="1">
      <c r="A334" s="125"/>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c r="AA334" s="125"/>
      <c r="AB334" s="125"/>
    </row>
    <row r="335" spans="1:28" ht="15.75" customHeight="1">
      <c r="A335" s="125"/>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c r="AA335" s="125"/>
      <c r="AB335" s="125"/>
    </row>
    <row r="336" spans="1:28" ht="15.75" customHeight="1">
      <c r="A336" s="125"/>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c r="AA336" s="125"/>
      <c r="AB336" s="125"/>
    </row>
    <row r="337" spans="1:28" ht="15.75" customHeight="1">
      <c r="A337" s="125"/>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c r="AA337" s="125"/>
      <c r="AB337" s="125"/>
    </row>
    <row r="338" spans="1:28" ht="15.75" customHeight="1">
      <c r="A338" s="125"/>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c r="AA338" s="125"/>
      <c r="AB338" s="125"/>
    </row>
    <row r="339" spans="1:28" ht="15.75" customHeight="1">
      <c r="A339" s="125"/>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c r="AA339" s="125"/>
      <c r="AB339" s="125"/>
    </row>
    <row r="340" spans="1:28" ht="15.75" customHeight="1">
      <c r="A340" s="125"/>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c r="AA340" s="125"/>
      <c r="AB340" s="125"/>
    </row>
    <row r="341" spans="1:28" ht="15.75" customHeight="1">
      <c r="A341" s="125"/>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c r="AA341" s="125"/>
      <c r="AB341" s="125"/>
    </row>
    <row r="342" spans="1:28" ht="15.75" customHeight="1">
      <c r="A342" s="125"/>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c r="AA342" s="125"/>
      <c r="AB342" s="125"/>
    </row>
    <row r="343" spans="1:28" ht="15.75" customHeight="1">
      <c r="A343" s="125"/>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c r="AA343" s="125"/>
      <c r="AB343" s="125"/>
    </row>
    <row r="344" spans="1:28" ht="15.75" customHeight="1">
      <c r="A344" s="125"/>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c r="AA344" s="125"/>
      <c r="AB344" s="125"/>
    </row>
    <row r="345" spans="1:28" ht="15.75" customHeight="1">
      <c r="A345" s="125"/>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c r="AA345" s="125"/>
      <c r="AB345" s="125"/>
    </row>
    <row r="346" spans="1:28" ht="15.75" customHeight="1">
      <c r="A346" s="125"/>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c r="AA346" s="125"/>
      <c r="AB346" s="125"/>
    </row>
    <row r="347" spans="1:28" ht="15.75" customHeight="1">
      <c r="A347" s="125"/>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c r="AA347" s="125"/>
      <c r="AB347" s="125"/>
    </row>
    <row r="348" spans="1:28" ht="15.75" customHeight="1">
      <c r="A348" s="125"/>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c r="AA348" s="125"/>
      <c r="AB348" s="125"/>
    </row>
    <row r="349" spans="1:28" ht="15.75" customHeight="1">
      <c r="A349" s="125"/>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c r="AA349" s="125"/>
      <c r="AB349" s="125"/>
    </row>
    <row r="350" spans="1:28" ht="15.75" customHeight="1">
      <c r="A350" s="125"/>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c r="AA350" s="125"/>
      <c r="AB350" s="125"/>
    </row>
    <row r="351" spans="1:28" ht="15.75" customHeight="1">
      <c r="A351" s="125"/>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c r="AA351" s="125"/>
      <c r="AB351" s="125"/>
    </row>
    <row r="352" spans="1:28" ht="15.75" customHeight="1">
      <c r="A352" s="125"/>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c r="AA352" s="125"/>
      <c r="AB352" s="125"/>
    </row>
    <row r="353" spans="1:28" ht="15.75" customHeight="1">
      <c r="A353" s="125"/>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c r="AA353" s="125"/>
      <c r="AB353" s="125"/>
    </row>
    <row r="354" spans="1:28" ht="15.75" customHeight="1">
      <c r="A354" s="125"/>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c r="AA354" s="125"/>
      <c r="AB354" s="125"/>
    </row>
    <row r="355" spans="1:28" ht="15.75" customHeight="1">
      <c r="A355" s="125"/>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c r="AA355" s="125"/>
      <c r="AB355" s="125"/>
    </row>
    <row r="356" spans="1:28" ht="15.75" customHeight="1">
      <c r="A356" s="125"/>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c r="AA356" s="125"/>
      <c r="AB356" s="125"/>
    </row>
    <row r="357" spans="1:28" ht="15.75" customHeight="1">
      <c r="A357" s="125"/>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c r="AA357" s="125"/>
      <c r="AB357" s="125"/>
    </row>
    <row r="358" spans="1:28" ht="15.75" customHeight="1">
      <c r="A358" s="125"/>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c r="AA358" s="125"/>
      <c r="AB358" s="125"/>
    </row>
    <row r="359" spans="1:28" ht="15.75" customHeight="1">
      <c r="A359" s="125"/>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c r="AA359" s="125"/>
      <c r="AB359" s="125"/>
    </row>
    <row r="360" spans="1:28" ht="15.75" customHeight="1">
      <c r="A360" s="125"/>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c r="AA360" s="125"/>
      <c r="AB360" s="125"/>
    </row>
    <row r="361" spans="1:28" ht="15.75" customHeight="1">
      <c r="A361" s="125"/>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c r="AA361" s="125"/>
      <c r="AB361" s="125"/>
    </row>
    <row r="362" spans="1:28" ht="15.75" customHeight="1">
      <c r="A362" s="125"/>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c r="AA362" s="125"/>
      <c r="AB362" s="125"/>
    </row>
    <row r="363" spans="1:28" ht="15.75" customHeight="1">
      <c r="A363" s="125"/>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c r="AA363" s="125"/>
      <c r="AB363" s="125"/>
    </row>
    <row r="364" spans="1:28" ht="15.75" customHeight="1">
      <c r="A364" s="125"/>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c r="AA364" s="125"/>
      <c r="AB364" s="125"/>
    </row>
    <row r="365" spans="1:28" ht="15.75" customHeight="1">
      <c r="A365" s="125"/>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c r="AA365" s="125"/>
      <c r="AB365" s="125"/>
    </row>
    <row r="366" spans="1:28" ht="15.75" customHeight="1">
      <c r="A366" s="125"/>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c r="AA366" s="125"/>
      <c r="AB366" s="125"/>
    </row>
    <row r="367" spans="1:28" ht="15.75" customHeight="1">
      <c r="A367" s="125"/>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c r="AA367" s="125"/>
      <c r="AB367" s="125"/>
    </row>
    <row r="368" spans="1:28" ht="15.75" customHeight="1">
      <c r="A368" s="125"/>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c r="AA368" s="125"/>
      <c r="AB368" s="125"/>
    </row>
    <row r="369" spans="1:28" ht="15.75" customHeight="1">
      <c r="A369" s="125"/>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c r="AA369" s="125"/>
      <c r="AB369" s="125"/>
    </row>
    <row r="370" spans="1:28" ht="15.75" customHeight="1">
      <c r="A370" s="125"/>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c r="AA370" s="125"/>
      <c r="AB370" s="125"/>
    </row>
    <row r="371" spans="1:28" ht="15.75" customHeight="1">
      <c r="A371" s="125"/>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c r="AA371" s="125"/>
      <c r="AB371" s="125"/>
    </row>
    <row r="372" spans="1:28" ht="15.75" customHeight="1">
      <c r="A372" s="125"/>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c r="AA372" s="125"/>
      <c r="AB372" s="125"/>
    </row>
    <row r="373" spans="1:28" ht="15.75" customHeight="1">
      <c r="A373" s="125"/>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c r="AA373" s="125"/>
      <c r="AB373" s="125"/>
    </row>
    <row r="374" spans="1:28" ht="15.75" customHeight="1">
      <c r="A374" s="125"/>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c r="AA374" s="125"/>
      <c r="AB374" s="125"/>
    </row>
    <row r="375" spans="1:28" ht="15.75" customHeight="1">
      <c r="A375" s="125"/>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c r="AA375" s="125"/>
      <c r="AB375" s="125"/>
    </row>
    <row r="376" spans="1:28" ht="15.75" customHeight="1">
      <c r="A376" s="125"/>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c r="AA376" s="125"/>
      <c r="AB376" s="125"/>
    </row>
    <row r="377" spans="1:28" ht="15.75" customHeight="1">
      <c r="A377" s="125"/>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c r="AA377" s="125"/>
      <c r="AB377" s="125"/>
    </row>
    <row r="378" spans="1:28" ht="15.75" customHeight="1">
      <c r="A378" s="125"/>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c r="AA378" s="125"/>
      <c r="AB378" s="125"/>
    </row>
    <row r="379" spans="1:28" ht="15.75" customHeight="1">
      <c r="A379" s="125"/>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c r="AA379" s="125"/>
      <c r="AB379" s="125"/>
    </row>
    <row r="380" spans="1:28" ht="15.75" customHeight="1">
      <c r="A380" s="125"/>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c r="AA380" s="125"/>
      <c r="AB380" s="125"/>
    </row>
    <row r="381" spans="1:28" ht="15.75" customHeight="1">
      <c r="A381" s="125"/>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c r="AA381" s="125"/>
      <c r="AB381" s="125"/>
    </row>
    <row r="382" spans="1:28" ht="15.75" customHeight="1">
      <c r="A382" s="125"/>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c r="AA382" s="125"/>
      <c r="AB382" s="125"/>
    </row>
    <row r="383" spans="1:28" ht="15.75" customHeight="1">
      <c r="A383" s="125"/>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c r="AA383" s="125"/>
      <c r="AB383" s="125"/>
    </row>
    <row r="384" spans="1:28" ht="15.75" customHeight="1">
      <c r="A384" s="125"/>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c r="AA384" s="125"/>
      <c r="AB384" s="125"/>
    </row>
    <row r="385" spans="1:28" ht="15.75" customHeight="1">
      <c r="A385" s="125"/>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c r="AA385" s="125"/>
      <c r="AB385" s="125"/>
    </row>
    <row r="386" spans="1:28" ht="15.75" customHeight="1">
      <c r="A386" s="125"/>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c r="AA386" s="125"/>
      <c r="AB386" s="125"/>
    </row>
    <row r="387" spans="1:28" ht="15.75" customHeight="1">
      <c r="A387" s="125"/>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c r="AA387" s="125"/>
      <c r="AB387" s="125"/>
    </row>
    <row r="388" spans="1:28" ht="15.75" customHeight="1">
      <c r="A388" s="125"/>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c r="AA388" s="125"/>
      <c r="AB388" s="125"/>
    </row>
    <row r="389" spans="1:28" ht="15.75" customHeight="1">
      <c r="A389" s="125"/>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c r="AA389" s="125"/>
      <c r="AB389" s="125"/>
    </row>
    <row r="390" spans="1:28" ht="15.75" customHeight="1">
      <c r="A390" s="125"/>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c r="AA390" s="125"/>
      <c r="AB390" s="125"/>
    </row>
    <row r="391" spans="1:28" ht="15.75" customHeight="1">
      <c r="A391" s="125"/>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c r="AA391" s="125"/>
      <c r="AB391" s="125"/>
    </row>
    <row r="392" spans="1:28" ht="15.75" customHeight="1">
      <c r="A392" s="125"/>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c r="AA392" s="125"/>
      <c r="AB392" s="125"/>
    </row>
    <row r="393" spans="1:28" ht="15.75" customHeight="1">
      <c r="A393" s="125"/>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c r="AA393" s="125"/>
      <c r="AB393" s="125"/>
    </row>
    <row r="394" spans="1:28" ht="15.75" customHeight="1">
      <c r="A394" s="125"/>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c r="AA394" s="125"/>
      <c r="AB394" s="125"/>
    </row>
    <row r="395" spans="1:28" ht="15.75" customHeight="1">
      <c r="A395" s="125"/>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c r="AA395" s="125"/>
      <c r="AB395" s="125"/>
    </row>
    <row r="396" spans="1:28" ht="15.75" customHeight="1">
      <c r="A396" s="125"/>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c r="AA396" s="125"/>
      <c r="AB396" s="125"/>
    </row>
    <row r="397" spans="1:28" ht="15.75" customHeight="1">
      <c r="A397" s="125"/>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c r="AA397" s="125"/>
      <c r="AB397" s="125"/>
    </row>
    <row r="398" spans="1:28" ht="15.75" customHeight="1">
      <c r="A398" s="125"/>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c r="AA398" s="125"/>
      <c r="AB398" s="125"/>
    </row>
    <row r="399" spans="1:28" ht="15.75" customHeight="1">
      <c r="A399" s="125"/>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c r="AA399" s="125"/>
      <c r="AB399" s="125"/>
    </row>
    <row r="400" spans="1:28" ht="15.75" customHeight="1">
      <c r="A400" s="125"/>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c r="AA400" s="125"/>
      <c r="AB400" s="125"/>
    </row>
    <row r="401" spans="1:28" ht="15.75" customHeight="1">
      <c r="A401" s="125"/>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c r="AA401" s="125"/>
      <c r="AB401" s="125"/>
    </row>
    <row r="402" spans="1:28" ht="15.75" customHeight="1">
      <c r="A402" s="125"/>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c r="AA402" s="125"/>
      <c r="AB402" s="125"/>
    </row>
    <row r="403" spans="1:28" ht="15.75" customHeight="1">
      <c r="A403" s="125"/>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c r="AA403" s="125"/>
      <c r="AB403" s="125"/>
    </row>
    <row r="404" spans="1:28" ht="15.75" customHeight="1">
      <c r="A404" s="125"/>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c r="AA404" s="125"/>
      <c r="AB404" s="125"/>
    </row>
    <row r="405" spans="1:28" ht="15.75" customHeight="1">
      <c r="A405" s="125"/>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c r="AA405" s="125"/>
      <c r="AB405" s="125"/>
    </row>
    <row r="406" spans="1:28" ht="15.75" customHeight="1">
      <c r="A406" s="125"/>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c r="AA406" s="125"/>
      <c r="AB406" s="125"/>
    </row>
    <row r="407" spans="1:28" ht="15.75" customHeight="1">
      <c r="A407" s="125"/>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c r="AA407" s="125"/>
      <c r="AB407" s="125"/>
    </row>
    <row r="408" spans="1:28" ht="15.75" customHeight="1">
      <c r="A408" s="125"/>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c r="AA408" s="125"/>
      <c r="AB408" s="125"/>
    </row>
    <row r="409" spans="1:28" ht="15.75" customHeight="1">
      <c r="A409" s="125"/>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c r="AA409" s="125"/>
      <c r="AB409" s="125"/>
    </row>
    <row r="410" spans="1:28" ht="15.75" customHeight="1">
      <c r="A410" s="125"/>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c r="AA410" s="125"/>
      <c r="AB410" s="125"/>
    </row>
    <row r="411" spans="1:28" ht="15.75" customHeight="1">
      <c r="A411" s="125"/>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c r="AA411" s="125"/>
      <c r="AB411" s="125"/>
    </row>
    <row r="412" spans="1:28" ht="15.75" customHeight="1">
      <c r="A412" s="125"/>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c r="AA412" s="125"/>
      <c r="AB412" s="125"/>
    </row>
    <row r="413" spans="1:28" ht="15.75" customHeight="1">
      <c r="A413" s="125"/>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c r="AA413" s="125"/>
      <c r="AB413" s="125"/>
    </row>
    <row r="414" spans="1:28" ht="15.75" customHeight="1">
      <c r="A414" s="125"/>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c r="AA414" s="125"/>
      <c r="AB414" s="125"/>
    </row>
    <row r="415" spans="1:28" ht="15.75" customHeight="1">
      <c r="A415" s="125"/>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c r="AA415" s="125"/>
      <c r="AB415" s="125"/>
    </row>
    <row r="416" spans="1:28" ht="15.75" customHeight="1">
      <c r="A416" s="125"/>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c r="AA416" s="125"/>
      <c r="AB416" s="125"/>
    </row>
    <row r="417" spans="1:28" ht="15.75" customHeight="1">
      <c r="A417" s="125"/>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c r="AA417" s="125"/>
      <c r="AB417" s="125"/>
    </row>
    <row r="418" spans="1:28" ht="15.75" customHeight="1">
      <c r="A418" s="125"/>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c r="AA418" s="125"/>
      <c r="AB418" s="125"/>
    </row>
    <row r="419" spans="1:28" ht="15.75" customHeight="1">
      <c r="A419" s="125"/>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c r="AA419" s="125"/>
      <c r="AB419" s="125"/>
    </row>
    <row r="420" spans="1:28" ht="15.75" customHeight="1">
      <c r="A420" s="125"/>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c r="AA420" s="125"/>
      <c r="AB420" s="125"/>
    </row>
    <row r="421" spans="1:28" ht="15.75" customHeight="1">
      <c r="A421" s="125"/>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c r="AA421" s="125"/>
      <c r="AB421" s="125"/>
    </row>
    <row r="422" spans="1:28" ht="15.75" customHeight="1">
      <c r="A422" s="125"/>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c r="AA422" s="125"/>
      <c r="AB422" s="125"/>
    </row>
    <row r="423" spans="1:28" ht="15.75" customHeight="1">
      <c r="A423" s="125"/>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c r="AA423" s="125"/>
      <c r="AB423" s="125"/>
    </row>
    <row r="424" spans="1:28" ht="15.75" customHeight="1">
      <c r="A424" s="125"/>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c r="AA424" s="125"/>
      <c r="AB424" s="125"/>
    </row>
    <row r="425" spans="1:28" ht="15.75" customHeight="1">
      <c r="A425" s="125"/>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c r="AA425" s="125"/>
      <c r="AB425" s="125"/>
    </row>
    <row r="426" spans="1:28" ht="15.75" customHeight="1">
      <c r="A426" s="125"/>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c r="AA426" s="125"/>
      <c r="AB426" s="125"/>
    </row>
    <row r="427" spans="1:28" ht="15.75" customHeight="1">
      <c r="A427" s="125"/>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c r="AA427" s="125"/>
      <c r="AB427" s="125"/>
    </row>
    <row r="428" spans="1:28" ht="15.75" customHeight="1">
      <c r="A428" s="125"/>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c r="AA428" s="125"/>
      <c r="AB428" s="125"/>
    </row>
    <row r="429" spans="1:28" ht="15.75" customHeight="1">
      <c r="A429" s="125"/>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c r="AA429" s="125"/>
      <c r="AB429" s="125"/>
    </row>
    <row r="430" spans="1:28" ht="15.75" customHeight="1">
      <c r="A430" s="125"/>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c r="AA430" s="125"/>
      <c r="AB430" s="125"/>
    </row>
    <row r="431" spans="1:28" ht="15.75" customHeight="1">
      <c r="A431" s="125"/>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c r="AA431" s="125"/>
      <c r="AB431" s="125"/>
    </row>
    <row r="432" spans="1:28" ht="15.75" customHeight="1">
      <c r="A432" s="125"/>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c r="AA432" s="125"/>
      <c r="AB432" s="125"/>
    </row>
    <row r="433" spans="1:28" ht="15.75" customHeight="1">
      <c r="A433" s="125"/>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c r="AA433" s="125"/>
      <c r="AB433" s="125"/>
    </row>
    <row r="434" spans="1:28" ht="15.75" customHeight="1">
      <c r="A434" s="125"/>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c r="AA434" s="125"/>
      <c r="AB434" s="125"/>
    </row>
    <row r="435" spans="1:28" ht="15.75" customHeight="1">
      <c r="A435" s="125"/>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c r="AA435" s="125"/>
      <c r="AB435" s="125"/>
    </row>
    <row r="436" spans="1:28" ht="15.75" customHeight="1">
      <c r="A436" s="125"/>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c r="AA436" s="125"/>
      <c r="AB436" s="125"/>
    </row>
    <row r="437" spans="1:28" ht="15.75" customHeight="1">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c r="AA437" s="125"/>
      <c r="AB437" s="125"/>
    </row>
    <row r="438" spans="1:28" ht="15.75" customHeight="1">
      <c r="A438" s="125"/>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c r="AA438" s="125"/>
      <c r="AB438" s="125"/>
    </row>
    <row r="439" spans="1:28" ht="15.75" customHeight="1">
      <c r="A439" s="125"/>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c r="AA439" s="125"/>
      <c r="AB439" s="125"/>
    </row>
    <row r="440" spans="1:28" ht="15.75" customHeight="1">
      <c r="A440" s="125"/>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c r="AA440" s="125"/>
      <c r="AB440" s="125"/>
    </row>
    <row r="441" spans="1:28" ht="15.75" customHeight="1">
      <c r="A441" s="125"/>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c r="AA441" s="125"/>
      <c r="AB441" s="125"/>
    </row>
    <row r="442" spans="1:28" ht="15.75" customHeight="1">
      <c r="A442" s="125"/>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c r="AA442" s="125"/>
      <c r="AB442" s="125"/>
    </row>
    <row r="443" spans="1:28" ht="15.75" customHeight="1">
      <c r="A443" s="125"/>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c r="AA443" s="125"/>
      <c r="AB443" s="125"/>
    </row>
    <row r="444" spans="1:28" ht="15.75" customHeight="1">
      <c r="A444" s="125"/>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c r="AA444" s="125"/>
      <c r="AB444" s="125"/>
    </row>
    <row r="445" spans="1:28" ht="15.75" customHeight="1">
      <c r="A445" s="125"/>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c r="AA445" s="125"/>
      <c r="AB445" s="125"/>
    </row>
    <row r="446" spans="1:28" ht="15.75" customHeight="1">
      <c r="A446" s="125"/>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c r="AA446" s="125"/>
      <c r="AB446" s="125"/>
    </row>
    <row r="447" spans="1:28" ht="15.75" customHeight="1">
      <c r="A447" s="125"/>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c r="AA447" s="125"/>
      <c r="AB447" s="125"/>
    </row>
    <row r="448" spans="1:28" ht="15.75" customHeight="1">
      <c r="A448" s="125"/>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c r="AA448" s="125"/>
      <c r="AB448" s="125"/>
    </row>
    <row r="449" spans="1:28" ht="15.75" customHeight="1">
      <c r="A449" s="125"/>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c r="AA449" s="125"/>
      <c r="AB449" s="125"/>
    </row>
    <row r="450" spans="1:28" ht="15.75" customHeight="1">
      <c r="A450" s="125"/>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c r="AA450" s="125"/>
      <c r="AB450" s="125"/>
    </row>
    <row r="451" spans="1:28" ht="15.75" customHeight="1">
      <c r="A451" s="125"/>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c r="AA451" s="125"/>
      <c r="AB451" s="125"/>
    </row>
    <row r="452" spans="1:28" ht="15.75" customHeight="1">
      <c r="A452" s="125"/>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c r="AA452" s="125"/>
      <c r="AB452" s="125"/>
    </row>
    <row r="453" spans="1:28" ht="15.75" customHeight="1">
      <c r="A453" s="125"/>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c r="AA453" s="125"/>
      <c r="AB453" s="125"/>
    </row>
    <row r="454" spans="1:28" ht="15.75" customHeight="1">
      <c r="A454" s="125"/>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c r="AA454" s="125"/>
      <c r="AB454" s="125"/>
    </row>
    <row r="455" spans="1:28" ht="15.75" customHeight="1">
      <c r="A455" s="125"/>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c r="AA455" s="125"/>
      <c r="AB455" s="125"/>
    </row>
    <row r="456" spans="1:28" ht="15.75" customHeight="1">
      <c r="A456" s="125"/>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c r="AA456" s="125"/>
      <c r="AB456" s="125"/>
    </row>
    <row r="457" spans="1:28" ht="15.75" customHeight="1">
      <c r="A457" s="125"/>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c r="AA457" s="125"/>
      <c r="AB457" s="125"/>
    </row>
    <row r="458" spans="1:28" ht="15.75" customHeight="1">
      <c r="A458" s="125"/>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c r="AA458" s="125"/>
      <c r="AB458" s="125"/>
    </row>
    <row r="459" spans="1:28" ht="15.75" customHeight="1">
      <c r="A459" s="125"/>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c r="AA459" s="125"/>
      <c r="AB459" s="125"/>
    </row>
    <row r="460" spans="1:28" ht="15.75" customHeight="1">
      <c r="A460" s="125"/>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c r="AA460" s="125"/>
      <c r="AB460" s="125"/>
    </row>
    <row r="461" spans="1:28" ht="15.75" customHeight="1">
      <c r="A461" s="125"/>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c r="AA461" s="125"/>
      <c r="AB461" s="125"/>
    </row>
    <row r="462" spans="1:28" ht="15.75" customHeight="1">
      <c r="A462" s="125"/>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c r="AA462" s="125"/>
      <c r="AB462" s="125"/>
    </row>
    <row r="463" spans="1:28" ht="15.75" customHeight="1">
      <c r="A463" s="125"/>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c r="AA463" s="125"/>
      <c r="AB463" s="125"/>
    </row>
    <row r="464" spans="1:28" ht="15.75" customHeight="1">
      <c r="A464" s="125"/>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c r="AA464" s="125"/>
      <c r="AB464" s="125"/>
    </row>
    <row r="465" spans="1:28" ht="15.75" customHeight="1">
      <c r="A465" s="125"/>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c r="AA465" s="125"/>
      <c r="AB465" s="125"/>
    </row>
    <row r="466" spans="1:28" ht="15.75" customHeight="1">
      <c r="A466" s="125"/>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c r="AA466" s="125"/>
      <c r="AB466" s="125"/>
    </row>
    <row r="467" spans="1:28" ht="15.75" customHeight="1">
      <c r="A467" s="125"/>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c r="AA467" s="125"/>
      <c r="AB467" s="125"/>
    </row>
    <row r="468" spans="1:28" ht="15.75" customHeight="1">
      <c r="A468" s="125"/>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c r="AA468" s="125"/>
      <c r="AB468" s="125"/>
    </row>
    <row r="469" spans="1:28" ht="15.75" customHeight="1">
      <c r="A469" s="125"/>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c r="AA469" s="125"/>
      <c r="AB469" s="125"/>
    </row>
    <row r="470" spans="1:28" ht="15.75" customHeight="1">
      <c r="A470" s="125"/>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c r="AA470" s="125"/>
      <c r="AB470" s="125"/>
    </row>
    <row r="471" spans="1:28" ht="15.75" customHeight="1">
      <c r="A471" s="125"/>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c r="AA471" s="125"/>
      <c r="AB471" s="125"/>
    </row>
    <row r="472" spans="1:28" ht="15.75" customHeight="1">
      <c r="A472" s="125"/>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c r="AA472" s="125"/>
      <c r="AB472" s="125"/>
    </row>
    <row r="473" spans="1:28" ht="15.75" customHeight="1">
      <c r="A473" s="125"/>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c r="AA473" s="125"/>
      <c r="AB473" s="125"/>
    </row>
    <row r="474" spans="1:28" ht="15.75" customHeight="1">
      <c r="A474" s="125"/>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c r="AA474" s="125"/>
      <c r="AB474" s="125"/>
    </row>
    <row r="475" spans="1:28" ht="15.75" customHeight="1">
      <c r="A475" s="125"/>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c r="AA475" s="125"/>
      <c r="AB475" s="125"/>
    </row>
    <row r="476" spans="1:28" ht="15.75" customHeight="1">
      <c r="A476" s="125"/>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c r="AA476" s="125"/>
      <c r="AB476" s="125"/>
    </row>
    <row r="477" spans="1:28" ht="15.75" customHeight="1">
      <c r="A477" s="125"/>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c r="AA477" s="125"/>
      <c r="AB477" s="125"/>
    </row>
    <row r="478" spans="1:28" ht="15.75" customHeight="1">
      <c r="A478" s="125"/>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c r="AA478" s="125"/>
      <c r="AB478" s="125"/>
    </row>
    <row r="479" spans="1:28" ht="15.75" customHeight="1">
      <c r="A479" s="125"/>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c r="AA479" s="125"/>
      <c r="AB479" s="125"/>
    </row>
    <row r="480" spans="1:28" ht="15.75" customHeight="1">
      <c r="A480" s="125"/>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c r="AA480" s="125"/>
      <c r="AB480" s="125"/>
    </row>
    <row r="481" spans="1:28" ht="15.75" customHeight="1">
      <c r="A481" s="125"/>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c r="AA481" s="125"/>
      <c r="AB481" s="125"/>
    </row>
    <row r="482" spans="1:28" ht="15.75" customHeight="1">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c r="AA482" s="125"/>
      <c r="AB482" s="125"/>
    </row>
    <row r="483" spans="1:28" ht="15.75" customHeight="1">
      <c r="A483" s="125"/>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c r="AA483" s="125"/>
      <c r="AB483" s="125"/>
    </row>
    <row r="484" spans="1:28" ht="15.75" customHeight="1">
      <c r="A484" s="125"/>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c r="AA484" s="125"/>
      <c r="AB484" s="125"/>
    </row>
    <row r="485" spans="1:28" ht="15.75" customHeight="1">
      <c r="A485" s="125"/>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c r="AA485" s="125"/>
      <c r="AB485" s="125"/>
    </row>
    <row r="486" spans="1:28" ht="15.75" customHeight="1">
      <c r="A486" s="125"/>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c r="AA486" s="125"/>
      <c r="AB486" s="125"/>
    </row>
    <row r="487" spans="1:28" ht="15.75" customHeight="1">
      <c r="A487" s="125"/>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c r="AA487" s="125"/>
      <c r="AB487" s="125"/>
    </row>
    <row r="488" spans="1:28" ht="15.75" customHeight="1">
      <c r="A488" s="125"/>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c r="AA488" s="125"/>
      <c r="AB488" s="125"/>
    </row>
    <row r="489" spans="1:28" ht="15.75" customHeight="1">
      <c r="A489" s="125"/>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c r="AA489" s="125"/>
      <c r="AB489" s="125"/>
    </row>
    <row r="490" spans="1:28" ht="15.75" customHeight="1">
      <c r="A490" s="125"/>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c r="AA490" s="125"/>
      <c r="AB490" s="125"/>
    </row>
    <row r="491" spans="1:28" ht="15.75" customHeight="1">
      <c r="A491" s="125"/>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c r="AA491" s="125"/>
      <c r="AB491" s="125"/>
    </row>
    <row r="492" spans="1:28" ht="15.75" customHeight="1">
      <c r="A492" s="125"/>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c r="AA492" s="125"/>
      <c r="AB492" s="125"/>
    </row>
    <row r="493" spans="1:28" ht="15.75" customHeight="1">
      <c r="A493" s="125"/>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c r="AA493" s="125"/>
      <c r="AB493" s="125"/>
    </row>
    <row r="494" spans="1:28" ht="15.75" customHeight="1">
      <c r="A494" s="125"/>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c r="AA494" s="125"/>
      <c r="AB494" s="125"/>
    </row>
    <row r="495" spans="1:28" ht="15.75" customHeight="1">
      <c r="A495" s="125"/>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c r="AA495" s="125"/>
      <c r="AB495" s="125"/>
    </row>
    <row r="496" spans="1:28" ht="15.75" customHeight="1">
      <c r="A496" s="125"/>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c r="AA496" s="125"/>
      <c r="AB496" s="125"/>
    </row>
    <row r="497" spans="1:28" ht="15.75" customHeight="1">
      <c r="A497" s="125"/>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c r="AA497" s="125"/>
      <c r="AB497" s="125"/>
    </row>
    <row r="498" spans="1:28" ht="15.75" customHeight="1">
      <c r="A498" s="125"/>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c r="AA498" s="125"/>
      <c r="AB498" s="125"/>
    </row>
    <row r="499" spans="1:28" ht="15.75" customHeight="1">
      <c r="A499" s="125"/>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c r="AA499" s="125"/>
      <c r="AB499" s="125"/>
    </row>
    <row r="500" spans="1:28" ht="15.75" customHeight="1">
      <c r="A500" s="125"/>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c r="AA500" s="125"/>
      <c r="AB500" s="125"/>
    </row>
    <row r="501" spans="1:28" ht="15.75" customHeight="1">
      <c r="A501" s="125"/>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c r="AA501" s="125"/>
      <c r="AB501" s="125"/>
    </row>
    <row r="502" spans="1:28" ht="15.75" customHeight="1">
      <c r="A502" s="125"/>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c r="AA502" s="125"/>
      <c r="AB502" s="125"/>
    </row>
    <row r="503" spans="1:28" ht="15.75" customHeight="1">
      <c r="A503" s="125"/>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c r="AA503" s="125"/>
      <c r="AB503" s="125"/>
    </row>
    <row r="504" spans="1:28" ht="15.75" customHeight="1">
      <c r="A504" s="125"/>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c r="AA504" s="125"/>
      <c r="AB504" s="125"/>
    </row>
    <row r="505" spans="1:28" ht="15.75" customHeight="1">
      <c r="A505" s="125"/>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c r="AA505" s="125"/>
      <c r="AB505" s="125"/>
    </row>
    <row r="506" spans="1:28" ht="15.75" customHeight="1">
      <c r="A506" s="125"/>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c r="AA506" s="125"/>
      <c r="AB506" s="125"/>
    </row>
    <row r="507" spans="1:28" ht="15.75" customHeight="1">
      <c r="A507" s="125"/>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c r="AA507" s="125"/>
      <c r="AB507" s="125"/>
    </row>
    <row r="508" spans="1:28" ht="15.75" customHeight="1">
      <c r="A508" s="125"/>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c r="AA508" s="125"/>
      <c r="AB508" s="125"/>
    </row>
    <row r="509" spans="1:28" ht="15.75" customHeight="1">
      <c r="A509" s="125"/>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c r="AA509" s="125"/>
      <c r="AB509" s="125"/>
    </row>
    <row r="510" spans="1:28" ht="15.75" customHeight="1">
      <c r="A510" s="125"/>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c r="AA510" s="125"/>
      <c r="AB510" s="125"/>
    </row>
    <row r="511" spans="1:28" ht="15.75" customHeight="1">
      <c r="A511" s="125"/>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c r="AA511" s="125"/>
      <c r="AB511" s="125"/>
    </row>
    <row r="512" spans="1:28" ht="15.75" customHeight="1">
      <c r="A512" s="125"/>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c r="AA512" s="125"/>
      <c r="AB512" s="125"/>
    </row>
    <row r="513" spans="1:28" ht="15.75" customHeight="1">
      <c r="A513" s="125"/>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c r="AA513" s="125"/>
      <c r="AB513" s="125"/>
    </row>
    <row r="514" spans="1:28" ht="15.75" customHeight="1">
      <c r="A514" s="125"/>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c r="AA514" s="125"/>
      <c r="AB514" s="125"/>
    </row>
    <row r="515" spans="1:28" ht="15.75" customHeight="1">
      <c r="A515" s="125"/>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c r="AA515" s="125"/>
      <c r="AB515" s="125"/>
    </row>
    <row r="516" spans="1:28" ht="15.75" customHeight="1">
      <c r="A516" s="125"/>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c r="AA516" s="125"/>
      <c r="AB516" s="125"/>
    </row>
    <row r="517" spans="1:28" ht="15.75" customHeight="1">
      <c r="A517" s="125"/>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c r="AA517" s="125"/>
      <c r="AB517" s="125"/>
    </row>
    <row r="518" spans="1:28" ht="15.75" customHeight="1">
      <c r="A518" s="125"/>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c r="AA518" s="125"/>
      <c r="AB518" s="125"/>
    </row>
    <row r="519" spans="1:28" ht="15.75" customHeight="1">
      <c r="A519" s="125"/>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c r="AA519" s="125"/>
      <c r="AB519" s="125"/>
    </row>
    <row r="520" spans="1:28" ht="15.75" customHeight="1">
      <c r="A520" s="125"/>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c r="AA520" s="125"/>
      <c r="AB520" s="125"/>
    </row>
    <row r="521" spans="1:28" ht="15.75" customHeight="1">
      <c r="A521" s="125"/>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c r="AA521" s="125"/>
      <c r="AB521" s="125"/>
    </row>
    <row r="522" spans="1:28" ht="15.75" customHeight="1">
      <c r="A522" s="125"/>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c r="AA522" s="125"/>
      <c r="AB522" s="125"/>
    </row>
    <row r="523" spans="1:28" ht="15.75" customHeight="1">
      <c r="A523" s="125"/>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c r="AA523" s="125"/>
      <c r="AB523" s="125"/>
    </row>
    <row r="524" spans="1:28" ht="15.75" customHeight="1">
      <c r="A524" s="125"/>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c r="AA524" s="125"/>
      <c r="AB524" s="125"/>
    </row>
    <row r="525" spans="1:28" ht="15.75" customHeight="1">
      <c r="A525" s="125"/>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c r="AA525" s="125"/>
      <c r="AB525" s="125"/>
    </row>
    <row r="526" spans="1:28" ht="15.75" customHeight="1">
      <c r="A526" s="125"/>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c r="AA526" s="125"/>
      <c r="AB526" s="125"/>
    </row>
    <row r="527" spans="1:28" ht="15.75" customHeight="1">
      <c r="A527" s="125"/>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c r="AA527" s="125"/>
      <c r="AB527" s="125"/>
    </row>
    <row r="528" spans="1:28" ht="15.75" customHeight="1">
      <c r="A528" s="125"/>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c r="AA528" s="125"/>
      <c r="AB528" s="125"/>
    </row>
    <row r="529" spans="1:28" ht="15.75" customHeight="1">
      <c r="A529" s="125"/>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c r="AA529" s="125"/>
      <c r="AB529" s="125"/>
    </row>
    <row r="530" spans="1:28" ht="15.75" customHeight="1">
      <c r="A530" s="125"/>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c r="AA530" s="125"/>
      <c r="AB530" s="125"/>
    </row>
    <row r="531" spans="1:28" ht="15.75" customHeight="1">
      <c r="A531" s="125"/>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c r="AA531" s="125"/>
      <c r="AB531" s="125"/>
    </row>
    <row r="532" spans="1:28" ht="15.75" customHeight="1">
      <c r="A532" s="125"/>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c r="AA532" s="125"/>
      <c r="AB532" s="125"/>
    </row>
    <row r="533" spans="1:28" ht="15.75" customHeight="1">
      <c r="A533" s="125"/>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c r="AA533" s="125"/>
      <c r="AB533" s="125"/>
    </row>
    <row r="534" spans="1:28" ht="15.75" customHeight="1">
      <c r="A534" s="125"/>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c r="AA534" s="125"/>
      <c r="AB534" s="125"/>
    </row>
    <row r="535" spans="1:28" ht="15.75" customHeight="1">
      <c r="A535" s="125"/>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c r="AA535" s="125"/>
      <c r="AB535" s="125"/>
    </row>
    <row r="536" spans="1:28" ht="15.75" customHeight="1">
      <c r="A536" s="125"/>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c r="AA536" s="125"/>
      <c r="AB536" s="125"/>
    </row>
    <row r="537" spans="1:28" ht="15.75" customHeight="1">
      <c r="A537" s="125"/>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c r="AA537" s="125"/>
      <c r="AB537" s="125"/>
    </row>
    <row r="538" spans="1:28" ht="15.75" customHeight="1">
      <c r="A538" s="125"/>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c r="AA538" s="125"/>
      <c r="AB538" s="125"/>
    </row>
    <row r="539" spans="1:28" ht="15.75" customHeight="1">
      <c r="A539" s="125"/>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c r="AA539" s="125"/>
      <c r="AB539" s="125"/>
    </row>
    <row r="540" spans="1:28" ht="15.75" customHeight="1">
      <c r="A540" s="125"/>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c r="AA540" s="125"/>
      <c r="AB540" s="125"/>
    </row>
    <row r="541" spans="1:28" ht="15.75" customHeight="1">
      <c r="A541" s="125"/>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c r="AA541" s="125"/>
      <c r="AB541" s="125"/>
    </row>
    <row r="542" spans="1:28" ht="15.75" customHeight="1">
      <c r="A542" s="125"/>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c r="AA542" s="125"/>
      <c r="AB542" s="125"/>
    </row>
    <row r="543" spans="1:28" ht="15.75" customHeight="1">
      <c r="A543" s="125"/>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c r="AA543" s="125"/>
      <c r="AB543" s="125"/>
    </row>
    <row r="544" spans="1:28" ht="15.75" customHeight="1">
      <c r="A544" s="125"/>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c r="AA544" s="125"/>
      <c r="AB544" s="125"/>
    </row>
    <row r="545" spans="1:28" ht="15.75" customHeight="1">
      <c r="A545" s="125"/>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c r="AA545" s="125"/>
      <c r="AB545" s="125"/>
    </row>
    <row r="546" spans="1:28" ht="15.75" customHeight="1">
      <c r="A546" s="125"/>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c r="AA546" s="125"/>
      <c r="AB546" s="125"/>
    </row>
    <row r="547" spans="1:28" ht="15.75" customHeight="1">
      <c r="A547" s="125"/>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c r="AA547" s="125"/>
      <c r="AB547" s="125"/>
    </row>
    <row r="548" spans="1:28" ht="15.75" customHeight="1">
      <c r="A548" s="125"/>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c r="AA548" s="125"/>
      <c r="AB548" s="125"/>
    </row>
    <row r="549" spans="1:28" ht="15.75" customHeight="1">
      <c r="A549" s="125"/>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c r="AA549" s="125"/>
      <c r="AB549" s="125"/>
    </row>
    <row r="550" spans="1:28" ht="15.75" customHeight="1">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c r="AA550" s="125"/>
      <c r="AB550" s="125"/>
    </row>
    <row r="551" spans="1:28" ht="15.75" customHeight="1">
      <c r="A551" s="125"/>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c r="AA551" s="125"/>
      <c r="AB551" s="125"/>
    </row>
    <row r="552" spans="1:28" ht="15.75" customHeight="1">
      <c r="A552" s="125"/>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c r="AA552" s="125"/>
      <c r="AB552" s="125"/>
    </row>
    <row r="553" spans="1:28" ht="15.75" customHeight="1">
      <c r="A553" s="125"/>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c r="AA553" s="125"/>
      <c r="AB553" s="125"/>
    </row>
    <row r="554" spans="1:28" ht="15.75" customHeight="1">
      <c r="A554" s="125"/>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c r="AA554" s="125"/>
      <c r="AB554" s="125"/>
    </row>
    <row r="555" spans="1:28" ht="15.75" customHeight="1">
      <c r="A555" s="125"/>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c r="AA555" s="125"/>
      <c r="AB555" s="125"/>
    </row>
    <row r="556" spans="1:28" ht="15.75" customHeight="1">
      <c r="A556" s="125"/>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c r="AA556" s="125"/>
      <c r="AB556" s="125"/>
    </row>
    <row r="557" spans="1:28" ht="15.75" customHeight="1">
      <c r="A557" s="125"/>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c r="AA557" s="125"/>
      <c r="AB557" s="125"/>
    </row>
    <row r="558" spans="1:28" ht="15.75" customHeight="1">
      <c r="A558" s="125"/>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c r="AA558" s="125"/>
      <c r="AB558" s="125"/>
    </row>
    <row r="559" spans="1:28" ht="15.75" customHeight="1">
      <c r="A559" s="125"/>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c r="AA559" s="125"/>
      <c r="AB559" s="125"/>
    </row>
    <row r="560" spans="1:28" ht="15.75" customHeight="1">
      <c r="A560" s="125"/>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c r="AA560" s="125"/>
      <c r="AB560" s="125"/>
    </row>
    <row r="561" spans="1:28" ht="15.75" customHeight="1">
      <c r="A561" s="125"/>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c r="AA561" s="125"/>
      <c r="AB561" s="125"/>
    </row>
    <row r="562" spans="1:28" ht="15.75" customHeight="1">
      <c r="A562" s="125"/>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c r="AA562" s="125"/>
      <c r="AB562" s="125"/>
    </row>
    <row r="563" spans="1:28" ht="15.75" customHeight="1">
      <c r="A563" s="125"/>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c r="AA563" s="125"/>
      <c r="AB563" s="125"/>
    </row>
    <row r="564" spans="1:28" ht="15.75" customHeight="1">
      <c r="A564" s="125"/>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c r="AA564" s="125"/>
      <c r="AB564" s="125"/>
    </row>
    <row r="565" spans="1:28" ht="15.75" customHeight="1">
      <c r="A565" s="125"/>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c r="AA565" s="125"/>
      <c r="AB565" s="125"/>
    </row>
    <row r="566" spans="1:28" ht="15.75" customHeight="1">
      <c r="A566" s="125"/>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c r="AA566" s="125"/>
      <c r="AB566" s="125"/>
    </row>
    <row r="567" spans="1:28" ht="15.75" customHeight="1">
      <c r="A567" s="125"/>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c r="AA567" s="125"/>
      <c r="AB567" s="125"/>
    </row>
    <row r="568" spans="1:28" ht="15.75" customHeight="1">
      <c r="A568" s="125"/>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c r="AA568" s="125"/>
      <c r="AB568" s="125"/>
    </row>
    <row r="569" spans="1:28" ht="15.75" customHeight="1">
      <c r="A569" s="125"/>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c r="AA569" s="125"/>
      <c r="AB569" s="125"/>
    </row>
    <row r="570" spans="1:28" ht="15.75" customHeight="1">
      <c r="A570" s="125"/>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c r="AA570" s="125"/>
      <c r="AB570" s="125"/>
    </row>
    <row r="571" spans="1:28" ht="15.75" customHeight="1">
      <c r="A571" s="125"/>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c r="AA571" s="125"/>
      <c r="AB571" s="125"/>
    </row>
    <row r="572" spans="1:28" ht="15.75" customHeight="1">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c r="AA572" s="125"/>
      <c r="AB572" s="125"/>
    </row>
    <row r="573" spans="1:28" ht="15.75" customHeight="1">
      <c r="A573" s="125"/>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c r="AA573" s="125"/>
      <c r="AB573" s="125"/>
    </row>
    <row r="574" spans="1:28" ht="15.75" customHeight="1">
      <c r="A574" s="125"/>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c r="AA574" s="125"/>
      <c r="AB574" s="125"/>
    </row>
    <row r="575" spans="1:28" ht="15.75" customHeight="1">
      <c r="A575" s="125"/>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c r="AA575" s="125"/>
      <c r="AB575" s="125"/>
    </row>
    <row r="576" spans="1:28" ht="15.75" customHeight="1">
      <c r="A576" s="125"/>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c r="AA576" s="125"/>
      <c r="AB576" s="125"/>
    </row>
    <row r="577" spans="1:28" ht="15.75" customHeight="1">
      <c r="A577" s="125"/>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c r="AA577" s="125"/>
      <c r="AB577" s="125"/>
    </row>
    <row r="578" spans="1:28" ht="15.75" customHeight="1">
      <c r="A578" s="125"/>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c r="AA578" s="125"/>
      <c r="AB578" s="125"/>
    </row>
    <row r="579" spans="1:28" ht="15.75" customHeight="1">
      <c r="A579" s="125"/>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c r="AA579" s="125"/>
      <c r="AB579" s="125"/>
    </row>
    <row r="580" spans="1:28" ht="15.75" customHeight="1">
      <c r="A580" s="125"/>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c r="AA580" s="125"/>
      <c r="AB580" s="125"/>
    </row>
    <row r="581" spans="1:28" ht="15.75" customHeight="1">
      <c r="A581" s="125"/>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c r="AA581" s="125"/>
      <c r="AB581" s="125"/>
    </row>
    <row r="582" spans="1:28" ht="15.75" customHeight="1">
      <c r="A582" s="125"/>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c r="AA582" s="125"/>
      <c r="AB582" s="125"/>
    </row>
    <row r="583" spans="1:28" ht="15.75" customHeight="1">
      <c r="A583" s="125"/>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c r="AA583" s="125"/>
      <c r="AB583" s="125"/>
    </row>
    <row r="584" spans="1:28" ht="15.75" customHeight="1">
      <c r="A584" s="125"/>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c r="AA584" s="125"/>
      <c r="AB584" s="125"/>
    </row>
    <row r="585" spans="1:28" ht="15.75" customHeight="1">
      <c r="A585" s="125"/>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c r="AA585" s="125"/>
      <c r="AB585" s="125"/>
    </row>
    <row r="586" spans="1:28" ht="15.75" customHeight="1">
      <c r="A586" s="125"/>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c r="AA586" s="125"/>
      <c r="AB586" s="125"/>
    </row>
    <row r="587" spans="1:28" ht="15.75" customHeight="1">
      <c r="A587" s="125"/>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c r="AA587" s="125"/>
      <c r="AB587" s="125"/>
    </row>
    <row r="588" spans="1:28" ht="15.75" customHeight="1">
      <c r="A588" s="125"/>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c r="AA588" s="125"/>
      <c r="AB588" s="125"/>
    </row>
    <row r="589" spans="1:28" ht="15.75" customHeight="1">
      <c r="A589" s="125"/>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c r="AA589" s="125"/>
      <c r="AB589" s="125"/>
    </row>
    <row r="590" spans="1:28" ht="15.75" customHeight="1">
      <c r="A590" s="125"/>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c r="AA590" s="125"/>
      <c r="AB590" s="125"/>
    </row>
    <row r="591" spans="1:28" ht="15.75" customHeight="1">
      <c r="A591" s="125"/>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c r="AA591" s="125"/>
      <c r="AB591" s="125"/>
    </row>
    <row r="592" spans="1:28" ht="15.75" customHeight="1">
      <c r="A592" s="125"/>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c r="AA592" s="125"/>
      <c r="AB592" s="125"/>
    </row>
    <row r="593" spans="1:28" ht="15.75" customHeight="1">
      <c r="A593" s="125"/>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c r="AA593" s="125"/>
      <c r="AB593" s="125"/>
    </row>
    <row r="594" spans="1:28" ht="15.75" customHeight="1">
      <c r="A594" s="125"/>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c r="AA594" s="125"/>
      <c r="AB594" s="125"/>
    </row>
    <row r="595" spans="1:28" ht="15.75" customHeight="1">
      <c r="A595" s="125"/>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c r="AA595" s="125"/>
      <c r="AB595" s="125"/>
    </row>
    <row r="596" spans="1:28" ht="15.75" customHeight="1">
      <c r="A596" s="125"/>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c r="AA596" s="125"/>
      <c r="AB596" s="125"/>
    </row>
    <row r="597" spans="1:28" ht="15.75" customHeight="1">
      <c r="A597" s="125"/>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c r="AA597" s="125"/>
      <c r="AB597" s="125"/>
    </row>
    <row r="598" spans="1:28" ht="15.75" customHeight="1">
      <c r="A598" s="125"/>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c r="AA598" s="125"/>
      <c r="AB598" s="125"/>
    </row>
    <row r="599" spans="1:28" ht="15.75" customHeight="1">
      <c r="A599" s="125"/>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c r="AA599" s="125"/>
      <c r="AB599" s="125"/>
    </row>
    <row r="600" spans="1:28" ht="15.75" customHeight="1">
      <c r="A600" s="125"/>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c r="AA600" s="125"/>
      <c r="AB600" s="125"/>
    </row>
    <row r="601" spans="1:28" ht="15.75" customHeight="1">
      <c r="A601" s="125"/>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c r="AA601" s="125"/>
      <c r="AB601" s="125"/>
    </row>
    <row r="602" spans="1:28" ht="15.75" customHeight="1">
      <c r="A602" s="125"/>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c r="AA602" s="125"/>
      <c r="AB602" s="125"/>
    </row>
    <row r="603" spans="1:28" ht="15.75" customHeight="1">
      <c r="A603" s="125"/>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c r="AA603" s="125"/>
      <c r="AB603" s="125"/>
    </row>
    <row r="604" spans="1:28" ht="15.75" customHeight="1">
      <c r="A604" s="125"/>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c r="AA604" s="125"/>
      <c r="AB604" s="125"/>
    </row>
    <row r="605" spans="1:28" ht="15.75" customHeight="1">
      <c r="A605" s="125"/>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c r="AA605" s="125"/>
      <c r="AB605" s="125"/>
    </row>
    <row r="606" spans="1:28" ht="15.75" customHeight="1">
      <c r="A606" s="125"/>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c r="AA606" s="125"/>
      <c r="AB606" s="125"/>
    </row>
    <row r="607" spans="1:28" ht="15.75" customHeight="1">
      <c r="A607" s="125"/>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c r="AA607" s="125"/>
      <c r="AB607" s="125"/>
    </row>
    <row r="608" spans="1:28" ht="15.75" customHeight="1">
      <c r="A608" s="125"/>
      <c r="B608" s="125"/>
      <c r="C608" s="125"/>
      <c r="D608" s="4"/>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c r="AA608" s="125"/>
      <c r="AB608" s="125"/>
    </row>
    <row r="609" spans="1:28" ht="15.75" customHeight="1">
      <c r="A609" s="125"/>
      <c r="B609" s="125"/>
      <c r="C609" s="125"/>
      <c r="D609" s="4"/>
      <c r="E609" s="168" t="s">
        <v>7</v>
      </c>
      <c r="F609" s="169" t="e">
        <f t="shared" ref="F609:F612" si="1">COUNTIF(#REF!,E609)</f>
        <v>#REF!</v>
      </c>
      <c r="G609" s="125"/>
      <c r="H609" s="125"/>
      <c r="I609" s="125"/>
      <c r="J609" s="125"/>
      <c r="K609" s="125"/>
      <c r="L609" s="125"/>
      <c r="M609" s="125"/>
      <c r="N609" s="125"/>
      <c r="O609" s="125"/>
      <c r="P609" s="125"/>
      <c r="Q609" s="125"/>
      <c r="R609" s="125"/>
      <c r="S609" s="125"/>
      <c r="T609" s="125"/>
      <c r="U609" s="125"/>
      <c r="V609" s="125"/>
      <c r="W609" s="125"/>
      <c r="X609" s="125"/>
      <c r="Y609" s="125"/>
      <c r="Z609" s="125"/>
      <c r="AA609" s="125"/>
      <c r="AB609" s="125"/>
    </row>
    <row r="610" spans="1:28" ht="15.75" customHeight="1">
      <c r="A610" s="125"/>
      <c r="B610" s="125"/>
      <c r="C610" s="126" t="s">
        <v>488</v>
      </c>
      <c r="D610" s="4"/>
      <c r="E610" s="168" t="s">
        <v>8</v>
      </c>
      <c r="F610" s="169" t="e">
        <f t="shared" si="1"/>
        <v>#REF!</v>
      </c>
      <c r="G610" s="125"/>
      <c r="H610" s="125"/>
      <c r="I610" s="125"/>
      <c r="J610" s="125"/>
      <c r="K610" s="125"/>
      <c r="L610" s="125"/>
      <c r="M610" s="125"/>
      <c r="N610" s="125"/>
      <c r="O610" s="125"/>
      <c r="P610" s="125"/>
      <c r="Q610" s="125"/>
      <c r="R610" s="125"/>
      <c r="S610" s="125"/>
      <c r="T610" s="125"/>
      <c r="U610" s="125"/>
      <c r="V610" s="125"/>
      <c r="W610" s="125"/>
      <c r="X610" s="125"/>
      <c r="Y610" s="125"/>
      <c r="Z610" s="125"/>
      <c r="AA610" s="125"/>
      <c r="AB610" s="125"/>
    </row>
    <row r="611" spans="1:28" ht="15.75" customHeight="1">
      <c r="A611" s="125"/>
      <c r="B611" s="125"/>
      <c r="C611" s="125"/>
      <c r="D611" s="4"/>
      <c r="E611" s="168" t="s">
        <v>9</v>
      </c>
      <c r="F611" s="169" t="e">
        <f t="shared" si="1"/>
        <v>#REF!</v>
      </c>
      <c r="G611" s="125"/>
      <c r="H611" s="125"/>
      <c r="I611" s="125"/>
      <c r="J611" s="125"/>
      <c r="K611" s="125"/>
      <c r="L611" s="125"/>
      <c r="M611" s="125"/>
      <c r="N611" s="125"/>
      <c r="O611" s="125"/>
      <c r="P611" s="125"/>
      <c r="Q611" s="125"/>
      <c r="R611" s="125"/>
      <c r="S611" s="125"/>
      <c r="T611" s="125"/>
      <c r="U611" s="125"/>
      <c r="V611" s="125"/>
      <c r="W611" s="125"/>
      <c r="X611" s="125"/>
      <c r="Y611" s="125"/>
      <c r="Z611" s="125"/>
      <c r="AA611" s="125"/>
      <c r="AB611" s="125"/>
    </row>
    <row r="612" spans="1:28" ht="15.75" customHeight="1">
      <c r="A612" s="125"/>
      <c r="B612" s="125"/>
      <c r="C612" s="125"/>
      <c r="D612" s="4"/>
      <c r="E612" s="168" t="s">
        <v>10</v>
      </c>
      <c r="F612" s="169" t="e">
        <f t="shared" si="1"/>
        <v>#REF!</v>
      </c>
      <c r="G612" s="125"/>
      <c r="H612" s="125"/>
      <c r="I612" s="125"/>
      <c r="J612" s="125"/>
      <c r="K612" s="125"/>
      <c r="L612" s="125"/>
      <c r="M612" s="125"/>
      <c r="N612" s="125"/>
      <c r="O612" s="125"/>
      <c r="P612" s="125"/>
      <c r="Q612" s="125"/>
      <c r="R612" s="125"/>
      <c r="S612" s="125"/>
      <c r="T612" s="125"/>
      <c r="U612" s="125"/>
      <c r="V612" s="125"/>
      <c r="W612" s="125"/>
      <c r="X612" s="125"/>
      <c r="Y612" s="125"/>
      <c r="Z612" s="125"/>
      <c r="AA612" s="125"/>
      <c r="AB612" s="125"/>
    </row>
    <row r="613" spans="1:28" ht="15.75" customHeight="1">
      <c r="A613" s="125"/>
      <c r="B613" s="125"/>
      <c r="C613" s="125"/>
      <c r="D613" s="4"/>
      <c r="E613" s="168" t="s">
        <v>6</v>
      </c>
      <c r="F613" s="169" t="e">
        <f>SUM(F609:F611)</f>
        <v>#REF!</v>
      </c>
      <c r="G613" s="125"/>
      <c r="H613" s="125"/>
      <c r="I613" s="125"/>
      <c r="J613" s="125"/>
      <c r="K613" s="125"/>
      <c r="L613" s="125"/>
      <c r="M613" s="125"/>
      <c r="N613" s="125"/>
      <c r="O613" s="125"/>
      <c r="P613" s="125"/>
      <c r="Q613" s="125"/>
      <c r="R613" s="125"/>
      <c r="S613" s="125"/>
      <c r="T613" s="125"/>
      <c r="U613" s="125"/>
      <c r="V613" s="125"/>
      <c r="W613" s="125"/>
      <c r="X613" s="125"/>
      <c r="Y613" s="125"/>
      <c r="Z613" s="125"/>
      <c r="AA613" s="125"/>
      <c r="AB613" s="125"/>
    </row>
    <row r="614" spans="1:28" ht="15.75" customHeight="1">
      <c r="A614" s="125"/>
      <c r="B614" s="125"/>
      <c r="C614" s="125"/>
      <c r="D614" s="4"/>
      <c r="E614" s="168" t="s">
        <v>39</v>
      </c>
      <c r="F614" s="169" t="e">
        <f>SUM(F609:F612)</f>
        <v>#REF!</v>
      </c>
      <c r="G614" s="125"/>
      <c r="H614" s="125"/>
      <c r="I614" s="125"/>
      <c r="J614" s="125"/>
      <c r="K614" s="125"/>
      <c r="L614" s="125"/>
      <c r="M614" s="125"/>
      <c r="N614" s="125"/>
      <c r="O614" s="125"/>
      <c r="P614" s="125"/>
      <c r="Q614" s="125"/>
      <c r="R614" s="125"/>
      <c r="S614" s="125"/>
      <c r="T614" s="125"/>
      <c r="U614" s="125"/>
      <c r="V614" s="125"/>
      <c r="W614" s="125"/>
      <c r="X614" s="125"/>
      <c r="Y614" s="125"/>
      <c r="Z614" s="125"/>
      <c r="AA614" s="125"/>
      <c r="AB614" s="125"/>
    </row>
    <row r="615" spans="1:28" ht="15.75" customHeight="1">
      <c r="A615" s="125"/>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c r="AA615" s="125"/>
      <c r="AB615" s="125"/>
    </row>
    <row r="616" spans="1:28" ht="15.75" customHeight="1">
      <c r="A616" s="125"/>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c r="AA616" s="125"/>
      <c r="AB616" s="125"/>
    </row>
    <row r="617" spans="1:28" ht="15.75" customHeight="1">
      <c r="A617" s="125"/>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c r="AA617" s="125"/>
      <c r="AB617" s="125"/>
    </row>
    <row r="618" spans="1:28" ht="15.75" customHeight="1">
      <c r="A618" s="125"/>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c r="AA618" s="125"/>
      <c r="AB618" s="125"/>
    </row>
    <row r="619" spans="1:28" ht="15.75" customHeight="1">
      <c r="A619" s="125"/>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c r="AA619" s="125"/>
      <c r="AB619" s="125"/>
    </row>
    <row r="620" spans="1:28" ht="15.75" customHeight="1">
      <c r="A620" s="125"/>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c r="AA620" s="125"/>
      <c r="AB620" s="125"/>
    </row>
    <row r="621" spans="1:28" ht="15.75" customHeight="1">
      <c r="A621" s="125"/>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c r="AA621" s="125"/>
      <c r="AB621" s="125"/>
    </row>
    <row r="622" spans="1:28" ht="15.75" customHeight="1">
      <c r="A622" s="125"/>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c r="AA622" s="125"/>
      <c r="AB622" s="125"/>
    </row>
    <row r="623" spans="1:28" ht="15.75" customHeight="1">
      <c r="A623" s="125"/>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c r="AA623" s="125"/>
      <c r="AB623" s="125"/>
    </row>
    <row r="624" spans="1:28" ht="15.75" customHeight="1">
      <c r="A624" s="125"/>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c r="AA624" s="125"/>
      <c r="AB624" s="125"/>
    </row>
    <row r="625" spans="1:28" ht="15.75" customHeight="1">
      <c r="A625" s="125"/>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c r="AA625" s="125"/>
      <c r="AB625" s="125"/>
    </row>
    <row r="626" spans="1:28" ht="15.75" customHeight="1">
      <c r="A626" s="125"/>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c r="AA626" s="125"/>
      <c r="AB626" s="125"/>
    </row>
    <row r="627" spans="1:28" ht="15.75" customHeight="1">
      <c r="A627" s="125"/>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c r="AA627" s="125"/>
      <c r="AB627" s="125"/>
    </row>
    <row r="628" spans="1:28" ht="15.75" customHeight="1">
      <c r="A628" s="125"/>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c r="AA628" s="125"/>
      <c r="AB628" s="125"/>
    </row>
    <row r="629" spans="1:28" ht="15.75" customHeight="1">
      <c r="A629" s="125"/>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c r="AA629" s="125"/>
      <c r="AB629" s="125"/>
    </row>
    <row r="630" spans="1:28" ht="15.75" customHeight="1">
      <c r="A630" s="125"/>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c r="AA630" s="125"/>
      <c r="AB630" s="125"/>
    </row>
    <row r="631" spans="1:28" ht="15.75" customHeight="1">
      <c r="A631" s="125"/>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c r="AA631" s="125"/>
      <c r="AB631" s="125"/>
    </row>
    <row r="632" spans="1:28" ht="15.75" customHeight="1">
      <c r="A632" s="125"/>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c r="AA632" s="125"/>
      <c r="AB632" s="125"/>
    </row>
    <row r="633" spans="1:28" ht="15.75" customHeight="1">
      <c r="A633" s="125"/>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c r="AA633" s="125"/>
      <c r="AB633" s="125"/>
    </row>
    <row r="634" spans="1:28" ht="15.75" customHeight="1">
      <c r="A634" s="125"/>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c r="AA634" s="125"/>
      <c r="AB634" s="125"/>
    </row>
    <row r="635" spans="1:28" ht="15.75" customHeight="1">
      <c r="A635" s="125"/>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c r="AA635" s="125"/>
      <c r="AB635" s="125"/>
    </row>
    <row r="636" spans="1:28" ht="15.75" customHeight="1">
      <c r="A636" s="125"/>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c r="AA636" s="125"/>
      <c r="AB636" s="125"/>
    </row>
    <row r="637" spans="1:28" ht="15.75" customHeight="1">
      <c r="A637" s="125"/>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c r="AA637" s="125"/>
      <c r="AB637" s="125"/>
    </row>
    <row r="638" spans="1:28" ht="15.75" customHeight="1">
      <c r="A638" s="125"/>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c r="AA638" s="125"/>
      <c r="AB638" s="125"/>
    </row>
    <row r="639" spans="1:28" ht="15.75" customHeight="1">
      <c r="A639" s="125"/>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c r="AA639" s="125"/>
      <c r="AB639" s="125"/>
    </row>
    <row r="640" spans="1:28" ht="15.75" customHeight="1">
      <c r="A640" s="125"/>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c r="AA640" s="125"/>
      <c r="AB640" s="125"/>
    </row>
    <row r="641" spans="1:28" ht="15.75" customHeight="1">
      <c r="A641" s="125"/>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c r="AA641" s="125"/>
      <c r="AB641" s="125"/>
    </row>
    <row r="642" spans="1:28" ht="15.75" customHeight="1">
      <c r="A642" s="125"/>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c r="AA642" s="125"/>
      <c r="AB642" s="125"/>
    </row>
    <row r="643" spans="1:28" ht="15.75" customHeight="1">
      <c r="A643" s="125"/>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c r="AA643" s="125"/>
      <c r="AB643" s="125"/>
    </row>
    <row r="644" spans="1:28" ht="15.75" customHeight="1">
      <c r="A644" s="125"/>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c r="AA644" s="125"/>
      <c r="AB644" s="125"/>
    </row>
    <row r="645" spans="1:28" ht="15.75" customHeight="1">
      <c r="A645" s="125"/>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c r="AA645" s="125"/>
      <c r="AB645" s="125"/>
    </row>
    <row r="646" spans="1:28" ht="15.75" customHeight="1">
      <c r="A646" s="125"/>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c r="AA646" s="125"/>
      <c r="AB646" s="125"/>
    </row>
    <row r="647" spans="1:28" ht="15.75" customHeight="1">
      <c r="A647" s="125"/>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c r="AA647" s="125"/>
      <c r="AB647" s="125"/>
    </row>
    <row r="648" spans="1:28" ht="15.75" customHeight="1">
      <c r="A648" s="125"/>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c r="AA648" s="125"/>
      <c r="AB648" s="125"/>
    </row>
    <row r="649" spans="1:28" ht="15.75" customHeight="1">
      <c r="A649" s="125"/>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c r="AA649" s="125"/>
      <c r="AB649" s="125"/>
    </row>
    <row r="650" spans="1:28" ht="15.75" customHeight="1">
      <c r="A650" s="125"/>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c r="AA650" s="125"/>
      <c r="AB650" s="125"/>
    </row>
    <row r="651" spans="1:28" ht="15.75" customHeight="1">
      <c r="A651" s="125"/>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c r="AA651" s="125"/>
      <c r="AB651" s="125"/>
    </row>
    <row r="652" spans="1:28" ht="15.75" customHeight="1">
      <c r="A652" s="125"/>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c r="AA652" s="125"/>
      <c r="AB652" s="125"/>
    </row>
    <row r="653" spans="1:28" ht="15.75" customHeight="1">
      <c r="A653" s="125"/>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c r="AA653" s="125"/>
      <c r="AB653" s="125"/>
    </row>
    <row r="654" spans="1:28" ht="15.75" customHeight="1">
      <c r="A654" s="125"/>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c r="AA654" s="125"/>
      <c r="AB654" s="125"/>
    </row>
    <row r="655" spans="1:28" ht="15.75" customHeight="1">
      <c r="A655" s="125"/>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c r="AA655" s="125"/>
      <c r="AB655" s="125"/>
    </row>
    <row r="656" spans="1:28" ht="15.75" customHeight="1">
      <c r="A656" s="125"/>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c r="AA656" s="125"/>
      <c r="AB656" s="125"/>
    </row>
    <row r="657" spans="1:28" ht="15.75" customHeight="1">
      <c r="A657" s="125"/>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c r="AA657" s="125"/>
      <c r="AB657" s="125"/>
    </row>
    <row r="658" spans="1:28" ht="15.75" customHeight="1">
      <c r="A658" s="125"/>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c r="AA658" s="125"/>
      <c r="AB658" s="125"/>
    </row>
    <row r="659" spans="1:28" ht="15.75" customHeight="1">
      <c r="A659" s="125"/>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c r="AA659" s="125"/>
      <c r="AB659" s="125"/>
    </row>
    <row r="660" spans="1:28" ht="15.75" customHeight="1">
      <c r="A660" s="125"/>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c r="AA660" s="125"/>
      <c r="AB660" s="125"/>
    </row>
    <row r="661" spans="1:28" ht="15.75" customHeight="1">
      <c r="A661" s="125"/>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c r="AA661" s="125"/>
      <c r="AB661" s="125"/>
    </row>
    <row r="662" spans="1:28" ht="15.75" customHeight="1">
      <c r="A662" s="125"/>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c r="AA662" s="125"/>
      <c r="AB662" s="125"/>
    </row>
    <row r="663" spans="1:28" ht="15.75" customHeight="1">
      <c r="A663" s="125"/>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c r="AA663" s="125"/>
      <c r="AB663" s="125"/>
    </row>
    <row r="664" spans="1:28" ht="15.75" customHeight="1">
      <c r="A664" s="125"/>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c r="AA664" s="125"/>
      <c r="AB664" s="125"/>
    </row>
    <row r="665" spans="1:28" ht="15.75" customHeight="1">
      <c r="A665" s="125"/>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c r="AA665" s="125"/>
      <c r="AB665" s="125"/>
    </row>
    <row r="666" spans="1:28" ht="15.75" customHeight="1">
      <c r="A666" s="125"/>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c r="AA666" s="125"/>
      <c r="AB666" s="125"/>
    </row>
    <row r="667" spans="1:28" ht="15.75" customHeight="1">
      <c r="A667" s="125"/>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c r="AA667" s="125"/>
      <c r="AB667" s="125"/>
    </row>
    <row r="668" spans="1:28" ht="15.75" customHeight="1">
      <c r="A668" s="125"/>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c r="AA668" s="125"/>
      <c r="AB668" s="125"/>
    </row>
    <row r="669" spans="1:28" ht="15.75" customHeight="1">
      <c r="A669" s="125"/>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c r="AA669" s="125"/>
      <c r="AB669" s="125"/>
    </row>
    <row r="670" spans="1:28" ht="15.75" customHeight="1">
      <c r="A670" s="125"/>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c r="AA670" s="125"/>
      <c r="AB670" s="125"/>
    </row>
    <row r="671" spans="1:28" ht="15.75" customHeight="1">
      <c r="A671" s="125"/>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c r="AA671" s="125"/>
      <c r="AB671" s="125"/>
    </row>
    <row r="672" spans="1:28" ht="15.75" customHeight="1">
      <c r="A672" s="125"/>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c r="AA672" s="125"/>
      <c r="AB672" s="125"/>
    </row>
    <row r="673" spans="1:28" ht="15.75" customHeight="1">
      <c r="A673" s="125"/>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c r="AA673" s="125"/>
      <c r="AB673" s="125"/>
    </row>
    <row r="674" spans="1:28" ht="15.75" customHeight="1">
      <c r="A674" s="125"/>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c r="AA674" s="125"/>
      <c r="AB674" s="125"/>
    </row>
    <row r="675" spans="1:28" ht="15.75" customHeight="1">
      <c r="A675" s="125"/>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c r="AA675" s="125"/>
      <c r="AB675" s="125"/>
    </row>
    <row r="676" spans="1:28" ht="15.75" customHeight="1">
      <c r="A676" s="125"/>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c r="AA676" s="125"/>
      <c r="AB676" s="125"/>
    </row>
    <row r="677" spans="1:28" ht="15.75" customHeight="1">
      <c r="A677" s="125"/>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c r="AA677" s="125"/>
      <c r="AB677" s="125"/>
    </row>
    <row r="678" spans="1:28" ht="15.75" customHeight="1">
      <c r="A678" s="125"/>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c r="AA678" s="125"/>
      <c r="AB678" s="125"/>
    </row>
    <row r="679" spans="1:28" ht="15.75" customHeight="1">
      <c r="A679" s="125"/>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c r="AA679" s="125"/>
      <c r="AB679" s="125"/>
    </row>
    <row r="680" spans="1:28" ht="15.75" customHeight="1">
      <c r="A680" s="125"/>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c r="AA680" s="125"/>
      <c r="AB680" s="125"/>
    </row>
    <row r="681" spans="1:28" ht="15.75" customHeight="1">
      <c r="A681" s="125"/>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c r="AA681" s="125"/>
      <c r="AB681" s="125"/>
    </row>
    <row r="682" spans="1:28" ht="15.75" customHeight="1">
      <c r="A682" s="125"/>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c r="AA682" s="125"/>
      <c r="AB682" s="125"/>
    </row>
    <row r="683" spans="1:28" ht="15.75" customHeight="1">
      <c r="A683" s="125"/>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c r="AA683" s="125"/>
      <c r="AB683" s="125"/>
    </row>
    <row r="684" spans="1:28" ht="15.75" customHeight="1">
      <c r="A684" s="125"/>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c r="AA684" s="125"/>
      <c r="AB684" s="125"/>
    </row>
    <row r="685" spans="1:28" ht="15.75" customHeight="1">
      <c r="A685" s="125"/>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c r="AA685" s="125"/>
      <c r="AB685" s="125"/>
    </row>
    <row r="686" spans="1:28" ht="15.75" customHeight="1">
      <c r="A686" s="125"/>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c r="AA686" s="125"/>
      <c r="AB686" s="125"/>
    </row>
    <row r="687" spans="1:28" ht="15.75" customHeight="1">
      <c r="A687" s="125"/>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c r="AA687" s="125"/>
      <c r="AB687" s="125"/>
    </row>
    <row r="688" spans="1:28" ht="15.75" customHeight="1">
      <c r="A688" s="125"/>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c r="AA688" s="125"/>
      <c r="AB688" s="125"/>
    </row>
    <row r="689" spans="1:28" ht="15.75" customHeight="1">
      <c r="A689" s="125"/>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c r="AA689" s="125"/>
      <c r="AB689" s="125"/>
    </row>
    <row r="690" spans="1:28" ht="15.75" customHeight="1">
      <c r="A690" s="125"/>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c r="AA690" s="125"/>
      <c r="AB690" s="125"/>
    </row>
    <row r="691" spans="1:28" ht="15.75" customHeight="1">
      <c r="A691" s="125"/>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c r="AA691" s="125"/>
      <c r="AB691" s="125"/>
    </row>
    <row r="692" spans="1:28" ht="15.75" customHeight="1">
      <c r="A692" s="125"/>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c r="AA692" s="125"/>
      <c r="AB692" s="125"/>
    </row>
    <row r="693" spans="1:28" ht="15.75" customHeight="1">
      <c r="A693" s="125"/>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c r="AA693" s="125"/>
      <c r="AB693" s="125"/>
    </row>
    <row r="694" spans="1:28" ht="15.75" customHeight="1">
      <c r="A694" s="125"/>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c r="AA694" s="125"/>
      <c r="AB694" s="125"/>
    </row>
    <row r="695" spans="1:28" ht="15.75" customHeight="1">
      <c r="A695" s="125"/>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c r="AA695" s="125"/>
      <c r="AB695" s="125"/>
    </row>
    <row r="696" spans="1:28" ht="15.75" customHeight="1">
      <c r="A696" s="125"/>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c r="AA696" s="125"/>
      <c r="AB696" s="125"/>
    </row>
    <row r="697" spans="1:28" ht="15.75" customHeight="1">
      <c r="A697" s="125"/>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c r="AA697" s="125"/>
      <c r="AB697" s="125"/>
    </row>
    <row r="698" spans="1:28" ht="15.75" customHeight="1">
      <c r="A698" s="125"/>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c r="AA698" s="125"/>
      <c r="AB698" s="125"/>
    </row>
    <row r="699" spans="1:28" ht="15.75" customHeight="1">
      <c r="A699" s="125"/>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c r="AA699" s="125"/>
      <c r="AB699" s="125"/>
    </row>
    <row r="700" spans="1:28" ht="15.75" customHeight="1">
      <c r="A700" s="125"/>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c r="AA700" s="125"/>
      <c r="AB700" s="125"/>
    </row>
    <row r="701" spans="1:28" ht="15.75" customHeight="1">
      <c r="A701" s="125"/>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c r="AA701" s="125"/>
      <c r="AB701" s="125"/>
    </row>
    <row r="702" spans="1:28" ht="15.75" customHeight="1">
      <c r="A702" s="125"/>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c r="AA702" s="125"/>
      <c r="AB702" s="125"/>
    </row>
    <row r="703" spans="1:28" ht="15.75" customHeight="1">
      <c r="A703" s="125"/>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c r="AA703" s="125"/>
      <c r="AB703" s="125"/>
    </row>
    <row r="704" spans="1:28" ht="15.75" customHeight="1">
      <c r="A704" s="125"/>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c r="AA704" s="125"/>
      <c r="AB704" s="125"/>
    </row>
    <row r="705" spans="1:28" ht="15.75" customHeight="1">
      <c r="A705" s="125"/>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c r="AA705" s="125"/>
      <c r="AB705" s="125"/>
    </row>
    <row r="706" spans="1:28" ht="15.75" customHeight="1">
      <c r="A706" s="125"/>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c r="AA706" s="125"/>
      <c r="AB706" s="125"/>
    </row>
    <row r="707" spans="1:28" ht="15.75" customHeight="1">
      <c r="A707" s="125"/>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c r="AA707" s="125"/>
      <c r="AB707" s="125"/>
    </row>
    <row r="708" spans="1:28" ht="15.75" customHeight="1">
      <c r="A708" s="125"/>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c r="AA708" s="125"/>
      <c r="AB708" s="125"/>
    </row>
    <row r="709" spans="1:28" ht="15.75" customHeight="1">
      <c r="A709" s="125"/>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c r="AA709" s="125"/>
      <c r="AB709" s="125"/>
    </row>
    <row r="710" spans="1:28" ht="15.75" customHeight="1">
      <c r="A710" s="125"/>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c r="AA710" s="125"/>
      <c r="AB710" s="125"/>
    </row>
    <row r="711" spans="1:28" ht="15.75" customHeight="1">
      <c r="A711" s="125"/>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c r="AA711" s="125"/>
      <c r="AB711" s="125"/>
    </row>
    <row r="712" spans="1:28" ht="15.75" customHeight="1">
      <c r="A712" s="125"/>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c r="AA712" s="125"/>
      <c r="AB712" s="125"/>
    </row>
    <row r="713" spans="1:28" ht="15.75" customHeight="1">
      <c r="A713" s="125"/>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c r="AA713" s="125"/>
      <c r="AB713" s="125"/>
    </row>
    <row r="714" spans="1:28" ht="15.75" customHeight="1">
      <c r="A714" s="125"/>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c r="AA714" s="125"/>
      <c r="AB714" s="125"/>
    </row>
    <row r="715" spans="1:28" ht="15.75" customHeight="1">
      <c r="A715" s="125"/>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c r="AA715" s="125"/>
      <c r="AB715" s="125"/>
    </row>
    <row r="716" spans="1:28" ht="15.75" customHeight="1">
      <c r="A716" s="125"/>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c r="AA716" s="125"/>
      <c r="AB716" s="125"/>
    </row>
    <row r="717" spans="1:28" ht="15.75" customHeight="1">
      <c r="A717" s="125"/>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c r="AA717" s="125"/>
      <c r="AB717" s="125"/>
    </row>
    <row r="718" spans="1:28" ht="15.75" customHeight="1">
      <c r="A718" s="125"/>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c r="AA718" s="125"/>
      <c r="AB718" s="125"/>
    </row>
    <row r="719" spans="1:28" ht="15.75" customHeight="1">
      <c r="A719" s="125"/>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c r="AA719" s="125"/>
      <c r="AB719" s="125"/>
    </row>
    <row r="720" spans="1:28" ht="15.75" customHeight="1">
      <c r="A720" s="125"/>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c r="AA720" s="125"/>
      <c r="AB720" s="125"/>
    </row>
    <row r="721" spans="1:28" ht="15.75" customHeight="1">
      <c r="A721" s="125"/>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c r="AA721" s="125"/>
      <c r="AB721" s="125"/>
    </row>
    <row r="722" spans="1:28" ht="15.75" customHeight="1">
      <c r="A722" s="125"/>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c r="AA722" s="125"/>
      <c r="AB722" s="125"/>
    </row>
    <row r="723" spans="1:28" ht="15.75" customHeight="1">
      <c r="A723" s="125"/>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c r="AA723" s="125"/>
      <c r="AB723" s="125"/>
    </row>
    <row r="724" spans="1:28" ht="15.75" customHeight="1">
      <c r="A724" s="125"/>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c r="AA724" s="125"/>
      <c r="AB724" s="125"/>
    </row>
    <row r="725" spans="1:28" ht="15.75" customHeight="1">
      <c r="A725" s="125"/>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c r="AA725" s="125"/>
      <c r="AB725" s="125"/>
    </row>
    <row r="726" spans="1:28" ht="15.75" customHeight="1">
      <c r="A726" s="125"/>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c r="AA726" s="125"/>
      <c r="AB726" s="125"/>
    </row>
    <row r="727" spans="1:28" ht="15.75" customHeight="1">
      <c r="A727" s="125"/>
      <c r="B727" s="125"/>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c r="AA727" s="125"/>
      <c r="AB727" s="125"/>
    </row>
    <row r="728" spans="1:28" ht="15.75" customHeight="1">
      <c r="A728" s="125"/>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c r="AA728" s="125"/>
      <c r="AB728" s="125"/>
    </row>
    <row r="729" spans="1:28" ht="15.75" customHeight="1">
      <c r="A729" s="125"/>
      <c r="B729" s="125"/>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c r="AA729" s="125"/>
      <c r="AB729" s="125"/>
    </row>
    <row r="730" spans="1:28" ht="15.75" customHeight="1">
      <c r="A730" s="125"/>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c r="AA730" s="125"/>
      <c r="AB730" s="125"/>
    </row>
    <row r="731" spans="1:28" ht="15.75" customHeight="1">
      <c r="A731" s="125"/>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c r="AA731" s="125"/>
      <c r="AB731" s="125"/>
    </row>
    <row r="732" spans="1:28" ht="15.75" customHeight="1">
      <c r="A732" s="125"/>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c r="AA732" s="125"/>
      <c r="AB732" s="125"/>
    </row>
    <row r="733" spans="1:28" ht="15.75" customHeight="1">
      <c r="A733" s="125"/>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c r="AA733" s="125"/>
      <c r="AB733" s="125"/>
    </row>
    <row r="734" spans="1:28" ht="15.75" customHeight="1">
      <c r="A734" s="125"/>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c r="AA734" s="125"/>
      <c r="AB734" s="125"/>
    </row>
    <row r="735" spans="1:28" ht="15.75" customHeight="1">
      <c r="A735" s="125"/>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c r="AA735" s="125"/>
      <c r="AB735" s="125"/>
    </row>
    <row r="736" spans="1:28" ht="15.75" customHeight="1">
      <c r="A736" s="125"/>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c r="AA736" s="125"/>
      <c r="AB736" s="125"/>
    </row>
    <row r="737" spans="1:28" ht="15.75" customHeight="1">
      <c r="A737" s="125"/>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c r="AA737" s="125"/>
      <c r="AB737" s="125"/>
    </row>
    <row r="738" spans="1:28" ht="15.75" customHeight="1">
      <c r="A738" s="125"/>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c r="AA738" s="125"/>
      <c r="AB738" s="125"/>
    </row>
    <row r="739" spans="1:28" ht="15.75" customHeight="1">
      <c r="A739" s="125"/>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c r="AA739" s="125"/>
      <c r="AB739" s="125"/>
    </row>
    <row r="740" spans="1:28" ht="15.75" customHeight="1">
      <c r="A740" s="125"/>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c r="AA740" s="125"/>
      <c r="AB740" s="125"/>
    </row>
    <row r="741" spans="1:28" ht="15.75" customHeight="1">
      <c r="A741" s="125"/>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c r="AA741" s="125"/>
      <c r="AB741" s="125"/>
    </row>
    <row r="742" spans="1:28" ht="15.75" customHeight="1">
      <c r="A742" s="125"/>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c r="AA742" s="125"/>
      <c r="AB742" s="125"/>
    </row>
    <row r="743" spans="1:28" ht="15.75" customHeight="1">
      <c r="A743" s="125"/>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c r="AA743" s="125"/>
      <c r="AB743" s="125"/>
    </row>
    <row r="744" spans="1:28" ht="15.75" customHeight="1">
      <c r="A744" s="125"/>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c r="AA744" s="125"/>
      <c r="AB744" s="125"/>
    </row>
    <row r="745" spans="1:28" ht="15.75" customHeight="1">
      <c r="A745" s="125"/>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c r="AA745" s="125"/>
      <c r="AB745" s="125"/>
    </row>
    <row r="746" spans="1:28" ht="15.75" customHeight="1">
      <c r="A746" s="125"/>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c r="AA746" s="125"/>
      <c r="AB746" s="125"/>
    </row>
    <row r="747" spans="1:28" ht="15.75" customHeight="1">
      <c r="A747" s="125"/>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c r="AA747" s="125"/>
      <c r="AB747" s="125"/>
    </row>
    <row r="748" spans="1:28" ht="15.75" customHeight="1">
      <c r="A748" s="125"/>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c r="AA748" s="125"/>
      <c r="AB748" s="125"/>
    </row>
    <row r="749" spans="1:28" ht="15.75" customHeight="1">
      <c r="A749" s="125"/>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c r="AA749" s="125"/>
      <c r="AB749" s="125"/>
    </row>
    <row r="750" spans="1:28" ht="15.75" customHeight="1">
      <c r="A750" s="125"/>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c r="AA750" s="125"/>
      <c r="AB750" s="125"/>
    </row>
    <row r="751" spans="1:28" ht="15.75" customHeight="1">
      <c r="A751" s="125"/>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c r="AA751" s="125"/>
      <c r="AB751" s="125"/>
    </row>
    <row r="752" spans="1:28" ht="15.75" customHeight="1">
      <c r="A752" s="125"/>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c r="AA752" s="125"/>
      <c r="AB752" s="125"/>
    </row>
    <row r="753" spans="1:28" ht="15.75" customHeight="1">
      <c r="A753" s="125"/>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c r="AA753" s="125"/>
      <c r="AB753" s="125"/>
    </row>
    <row r="754" spans="1:28" ht="15.75" customHeight="1">
      <c r="A754" s="125"/>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c r="AA754" s="125"/>
      <c r="AB754" s="125"/>
    </row>
    <row r="755" spans="1:28" ht="15.75" customHeight="1">
      <c r="A755" s="125"/>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c r="AA755" s="125"/>
      <c r="AB755" s="125"/>
    </row>
    <row r="756" spans="1:28" ht="15.75" customHeight="1">
      <c r="A756" s="125"/>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c r="AA756" s="125"/>
      <c r="AB756" s="125"/>
    </row>
    <row r="757" spans="1:28" ht="15.75" customHeight="1">
      <c r="A757" s="125"/>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c r="AA757" s="125"/>
      <c r="AB757" s="125"/>
    </row>
    <row r="758" spans="1:28" ht="15.75" customHeight="1">
      <c r="A758" s="125"/>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c r="AA758" s="125"/>
      <c r="AB758" s="125"/>
    </row>
    <row r="759" spans="1:28" ht="15.75" customHeight="1">
      <c r="A759" s="125"/>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c r="AA759" s="125"/>
      <c r="AB759" s="125"/>
    </row>
    <row r="760" spans="1:28" ht="15.75" customHeight="1">
      <c r="A760" s="125"/>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c r="AA760" s="125"/>
      <c r="AB760" s="125"/>
    </row>
    <row r="761" spans="1:28" ht="15.75" customHeight="1">
      <c r="A761" s="125"/>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c r="AA761" s="125"/>
      <c r="AB761" s="125"/>
    </row>
    <row r="762" spans="1:28" ht="15.75" customHeight="1">
      <c r="A762" s="125"/>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c r="AA762" s="125"/>
      <c r="AB762" s="125"/>
    </row>
    <row r="763" spans="1:28" ht="15.75" customHeight="1">
      <c r="A763" s="125"/>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c r="AA763" s="125"/>
      <c r="AB763" s="125"/>
    </row>
    <row r="764" spans="1:28" ht="15.75" customHeight="1">
      <c r="A764" s="125"/>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c r="AA764" s="125"/>
      <c r="AB764" s="125"/>
    </row>
    <row r="765" spans="1:28" ht="15.75" customHeight="1">
      <c r="A765" s="125"/>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c r="AA765" s="125"/>
      <c r="AB765" s="125"/>
    </row>
    <row r="766" spans="1:28" ht="15.75" customHeight="1">
      <c r="A766" s="125"/>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c r="AA766" s="125"/>
      <c r="AB766" s="125"/>
    </row>
    <row r="767" spans="1:28" ht="15.75" customHeight="1">
      <c r="A767" s="125"/>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c r="AA767" s="125"/>
      <c r="AB767" s="125"/>
    </row>
    <row r="768" spans="1:28" ht="15.75" customHeight="1">
      <c r="A768" s="125"/>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c r="AA768" s="125"/>
      <c r="AB768" s="125"/>
    </row>
    <row r="769" spans="1:28" ht="15.75" customHeight="1">
      <c r="A769" s="125"/>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c r="AA769" s="125"/>
      <c r="AB769" s="125"/>
    </row>
    <row r="770" spans="1:28" ht="15.75" customHeight="1">
      <c r="A770" s="125"/>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c r="AA770" s="125"/>
      <c r="AB770" s="125"/>
    </row>
    <row r="771" spans="1:28" ht="15.75" customHeight="1">
      <c r="A771" s="125"/>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c r="AA771" s="125"/>
      <c r="AB771" s="125"/>
    </row>
    <row r="772" spans="1:28" ht="15.75" customHeight="1">
      <c r="A772" s="125"/>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c r="AA772" s="125"/>
      <c r="AB772" s="125"/>
    </row>
    <row r="773" spans="1:28" ht="15.75" customHeight="1">
      <c r="A773" s="125"/>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c r="AA773" s="125"/>
      <c r="AB773" s="125"/>
    </row>
    <row r="774" spans="1:28" ht="15.75" customHeight="1">
      <c r="A774" s="125"/>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c r="AA774" s="125"/>
      <c r="AB774" s="125"/>
    </row>
    <row r="775" spans="1:28" ht="15.75" customHeight="1">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c r="AA775" s="125"/>
      <c r="AB775" s="125"/>
    </row>
    <row r="776" spans="1:28" ht="15.75" customHeight="1">
      <c r="A776" s="125"/>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c r="AA776" s="125"/>
      <c r="AB776" s="125"/>
    </row>
    <row r="777" spans="1:28" ht="15.75" customHeight="1">
      <c r="A777" s="125"/>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c r="AA777" s="125"/>
      <c r="AB777" s="125"/>
    </row>
    <row r="778" spans="1:28" ht="15.75" customHeight="1">
      <c r="A778" s="125"/>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c r="AA778" s="125"/>
      <c r="AB778" s="125"/>
    </row>
    <row r="779" spans="1:28" ht="15.75" customHeight="1">
      <c r="A779" s="125"/>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c r="AA779" s="125"/>
      <c r="AB779" s="125"/>
    </row>
    <row r="780" spans="1:28" ht="15.75" customHeight="1">
      <c r="A780" s="125"/>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c r="AA780" s="125"/>
      <c r="AB780" s="125"/>
    </row>
    <row r="781" spans="1:28" ht="15.75" customHeight="1">
      <c r="A781" s="125"/>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c r="AA781" s="125"/>
      <c r="AB781" s="125"/>
    </row>
    <row r="782" spans="1:28" ht="15.75" customHeight="1">
      <c r="A782" s="125"/>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c r="AA782" s="125"/>
      <c r="AB782" s="125"/>
    </row>
    <row r="783" spans="1:28" ht="15.75" customHeight="1">
      <c r="A783" s="125"/>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c r="AA783" s="125"/>
      <c r="AB783" s="125"/>
    </row>
    <row r="784" spans="1:28" ht="15.75" customHeight="1">
      <c r="A784" s="125"/>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c r="AA784" s="125"/>
      <c r="AB784" s="125"/>
    </row>
    <row r="785" spans="1:28" ht="15.75" customHeight="1">
      <c r="A785" s="125"/>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c r="AA785" s="125"/>
      <c r="AB785" s="125"/>
    </row>
    <row r="786" spans="1:28" ht="15.75" customHeight="1">
      <c r="A786" s="125"/>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c r="AA786" s="125"/>
      <c r="AB786" s="125"/>
    </row>
    <row r="787" spans="1:28" ht="15.75" customHeight="1">
      <c r="A787" s="125"/>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c r="AA787" s="125"/>
      <c r="AB787" s="125"/>
    </row>
    <row r="788" spans="1:28" ht="15.75" customHeight="1">
      <c r="A788" s="125"/>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c r="AA788" s="125"/>
      <c r="AB788" s="125"/>
    </row>
    <row r="789" spans="1:28" ht="15.75" customHeight="1">
      <c r="A789" s="125"/>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c r="AA789" s="125"/>
      <c r="AB789" s="125"/>
    </row>
    <row r="790" spans="1:28" ht="15.75" customHeight="1">
      <c r="A790" s="125"/>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c r="AA790" s="125"/>
      <c r="AB790" s="125"/>
    </row>
    <row r="791" spans="1:28" ht="15.75" customHeight="1">
      <c r="A791" s="125"/>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c r="AA791" s="125"/>
      <c r="AB791" s="125"/>
    </row>
    <row r="792" spans="1:28" ht="15.75" customHeight="1">
      <c r="A792" s="125"/>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c r="AA792" s="125"/>
      <c r="AB792" s="125"/>
    </row>
    <row r="793" spans="1:28" ht="15.75" customHeight="1">
      <c r="A793" s="125"/>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c r="AA793" s="125"/>
      <c r="AB793" s="125"/>
    </row>
    <row r="794" spans="1:28" ht="15.75" customHeight="1">
      <c r="A794" s="125"/>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c r="AA794" s="125"/>
      <c r="AB794" s="125"/>
    </row>
    <row r="795" spans="1:28" ht="15.75" customHeight="1">
      <c r="A795" s="125"/>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c r="AA795" s="125"/>
      <c r="AB795" s="125"/>
    </row>
    <row r="796" spans="1:28" ht="15.75" customHeight="1">
      <c r="A796" s="125"/>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c r="AA796" s="125"/>
      <c r="AB796" s="125"/>
    </row>
    <row r="797" spans="1:28" ht="15.75" customHeight="1">
      <c r="A797" s="125"/>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c r="AA797" s="125"/>
      <c r="AB797" s="125"/>
    </row>
    <row r="798" spans="1:28" ht="15.75" customHeight="1">
      <c r="A798" s="125"/>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c r="AA798" s="125"/>
      <c r="AB798" s="125"/>
    </row>
    <row r="799" spans="1:28" ht="15.75" customHeight="1">
      <c r="A799" s="125"/>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c r="AA799" s="125"/>
      <c r="AB799" s="125"/>
    </row>
    <row r="800" spans="1:28" ht="15.75" customHeight="1">
      <c r="A800" s="125"/>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c r="AA800" s="125"/>
      <c r="AB800" s="125"/>
    </row>
    <row r="801" spans="1:28" ht="15.75" customHeight="1">
      <c r="A801" s="125"/>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c r="AA801" s="125"/>
      <c r="AB801" s="125"/>
    </row>
    <row r="802" spans="1:28" ht="15.75" customHeight="1">
      <c r="A802" s="125"/>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c r="AA802" s="125"/>
      <c r="AB802" s="125"/>
    </row>
    <row r="803" spans="1:28" ht="15.75" customHeight="1">
      <c r="A803" s="125"/>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c r="AA803" s="125"/>
      <c r="AB803" s="125"/>
    </row>
    <row r="804" spans="1:28" ht="15.75" customHeight="1">
      <c r="A804" s="125"/>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c r="AA804" s="125"/>
      <c r="AB804" s="125"/>
    </row>
    <row r="805" spans="1:28" ht="15.75" customHeight="1">
      <c r="A805" s="125"/>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c r="AA805" s="125"/>
      <c r="AB805" s="125"/>
    </row>
    <row r="806" spans="1:28" ht="15.75" customHeight="1">
      <c r="A806" s="125"/>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c r="AA806" s="125"/>
      <c r="AB806" s="125"/>
    </row>
    <row r="807" spans="1:28" ht="15.75" customHeight="1">
      <c r="A807" s="125"/>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c r="AA807" s="125"/>
      <c r="AB807" s="125"/>
    </row>
    <row r="808" spans="1:28" ht="15.75" customHeight="1">
      <c r="A808" s="125"/>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c r="AA808" s="125"/>
      <c r="AB808" s="125"/>
    </row>
    <row r="809" spans="1:28" ht="15.75" customHeight="1">
      <c r="A809" s="125"/>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c r="AA809" s="125"/>
      <c r="AB809" s="125"/>
    </row>
    <row r="810" spans="1:28" ht="15.75" customHeight="1">
      <c r="A810" s="125"/>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c r="AA810" s="125"/>
      <c r="AB810" s="125"/>
    </row>
    <row r="811" spans="1:28" ht="15.75" customHeight="1">
      <c r="A811" s="125"/>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c r="AA811" s="125"/>
      <c r="AB811" s="125"/>
    </row>
    <row r="812" spans="1:28" ht="15.75" customHeight="1">
      <c r="A812" s="125"/>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c r="AA812" s="125"/>
      <c r="AB812" s="125"/>
    </row>
    <row r="813" spans="1:28" ht="15.75" customHeight="1">
      <c r="A813" s="125"/>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c r="AA813" s="125"/>
      <c r="AB813" s="125"/>
    </row>
    <row r="814" spans="1:28" ht="15.75" customHeight="1">
      <c r="A814" s="125"/>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c r="AA814" s="125"/>
      <c r="AB814" s="125"/>
    </row>
    <row r="815" spans="1:28" ht="15.75" customHeight="1"/>
    <row r="816" spans="1:28"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sheetData>
  <mergeCells count="4">
    <mergeCell ref="D154:E154"/>
    <mergeCell ref="D163:E163"/>
    <mergeCell ref="D171:E171"/>
    <mergeCell ref="D179:E179"/>
  </mergeCells>
  <conditionalFormatting sqref="H4:J41 H46:J76 H79:J105">
    <cfRule type="containsText" dxfId="11" priority="1" operator="containsText" text="FAIL">
      <formula>NOT(ISERROR(SEARCH(("FAIL"),(H4))))</formula>
    </cfRule>
  </conditionalFormatting>
  <conditionalFormatting sqref="H4:J41 H46:J76 H79:J105">
    <cfRule type="containsText" dxfId="10" priority="2" operator="containsText" text="NA">
      <formula>NOT(ISERROR(SEARCH(("NA"),(H4))))</formula>
    </cfRule>
  </conditionalFormatting>
  <conditionalFormatting sqref="H4:J41 H46:J76 H79:J105">
    <cfRule type="containsText" dxfId="9" priority="3" operator="containsText" text="NT">
      <formula>NOT(ISERROR(SEARCH(("NT"),(H4))))</formula>
    </cfRule>
  </conditionalFormatting>
  <conditionalFormatting sqref="H4:J41 H46:J76 H79:J105">
    <cfRule type="containsText" dxfId="8" priority="4" operator="containsText" text="PASS">
      <formula>NOT(ISERROR(SEARCH(("PASS"),(H4))))</formula>
    </cfRule>
  </conditionalFormatting>
  <conditionalFormatting sqref="H4:J31">
    <cfRule type="containsText" dxfId="7" priority="5" operator="containsText" text="PASS">
      <formula>NOT(ISERROR(SEARCH(("PASS"),(H4))))</formula>
    </cfRule>
  </conditionalFormatting>
  <conditionalFormatting sqref="H4:J31">
    <cfRule type="containsText" dxfId="6" priority="6" operator="containsText" text="NT">
      <formula>NOT(ISERROR(SEARCH(("NT"),(H4))))</formula>
    </cfRule>
  </conditionalFormatting>
  <conditionalFormatting sqref="H4:J31">
    <cfRule type="containsText" dxfId="5" priority="7" operator="containsText" text="NA">
      <formula>NOT(ISERROR(SEARCH(("NA"),(H4))))</formula>
    </cfRule>
  </conditionalFormatting>
  <conditionalFormatting sqref="H4:J31">
    <cfRule type="containsText" dxfId="4" priority="8" operator="containsText" text="FAIL">
      <formula>NOT(ISERROR(SEARCH(("FAIL"),(H4))))</formula>
    </cfRule>
  </conditionalFormatting>
  <dataValidations count="3">
    <dataValidation type="list" allowBlank="1" showErrorMessage="1" sqref="O4:O32">
      <formula1>"Nil,Ashick,Asif,MuthuKrishnan,Raashidahamed,Prasannanb,Sarankumar,Sasidharan,Senthil,Sivperumal,Sooriya,Ashwin,Varadharajan"</formula1>
    </dataValidation>
    <dataValidation type="list" allowBlank="1" showErrorMessage="1" sqref="H4:J41 H46:J74 H79:J105">
      <formula1>"PASS,FAIL,NA,NT"</formula1>
    </dataValidation>
    <dataValidation type="list" allowBlank="1" showErrorMessage="1" sqref="G4:G41 G46:G51 G54:G55 G58:G74 G79:G105">
      <formula1>"P1,P0"</formula1>
    </dataValidation>
  </dataValidations>
  <hyperlinks>
    <hyperlink ref="A2" location="SUMMARY!A1" display="Summary!A1"/>
    <hyperlink ref="C2" location="null!C23" display="Page Consolidation"/>
    <hyperlink ref="B154" location="null!C2" display="Move to Top"/>
    <hyperlink ref="C610" location="null!B4" display="Move to Top"/>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sheetPr>
    <outlinePr summaryBelow="0" summaryRight="0"/>
  </sheetPr>
  <dimension ref="A1:AB1036"/>
  <sheetViews>
    <sheetView workbookViewId="0">
      <pane ySplit="3" topLeftCell="A4" activePane="bottomLeft" state="frozen"/>
      <selection pane="bottomLeft" activeCell="B5" sqref="B5"/>
    </sheetView>
  </sheetViews>
  <sheetFormatPr defaultColWidth="12.59765625" defaultRowHeight="15" customHeight="1"/>
  <cols>
    <col min="1" max="1" width="5.69921875" customWidth="1"/>
    <col min="2" max="2" width="19.3984375" customWidth="1"/>
    <col min="3" max="3" width="17.8984375" customWidth="1"/>
    <col min="4" max="4" width="38.5" customWidth="1"/>
    <col min="5" max="5" width="59.8984375" customWidth="1"/>
    <col min="6" max="6" width="62.59765625" customWidth="1"/>
    <col min="7" max="7" width="9.19921875" customWidth="1"/>
    <col min="8" max="8" width="6.69921875" customWidth="1"/>
    <col min="9" max="10" width="6" customWidth="1"/>
    <col min="11" max="11" width="15.3984375" customWidth="1"/>
    <col min="12" max="12" width="6.09765625" customWidth="1"/>
    <col min="13" max="13" width="9.69921875" customWidth="1"/>
    <col min="14" max="14" width="11.8984375" customWidth="1"/>
    <col min="15" max="15" width="14.69921875" customWidth="1"/>
    <col min="16" max="16" width="20.8984375" customWidth="1"/>
  </cols>
  <sheetData>
    <row r="1" spans="1:28" ht="14.4">
      <c r="A1" s="124"/>
      <c r="B1" s="125"/>
      <c r="C1" s="124"/>
      <c r="D1" s="4"/>
      <c r="E1" s="125"/>
      <c r="F1" s="125"/>
      <c r="G1" s="125"/>
      <c r="H1" s="125"/>
      <c r="I1" s="125"/>
      <c r="J1" s="125"/>
      <c r="K1" s="125"/>
      <c r="L1" s="125"/>
      <c r="M1" s="125"/>
      <c r="N1" s="125"/>
      <c r="O1" s="125"/>
      <c r="P1" s="4"/>
      <c r="Q1" s="125"/>
      <c r="R1" s="125"/>
      <c r="S1" s="125"/>
      <c r="T1" s="125"/>
      <c r="U1" s="125"/>
      <c r="V1" s="125"/>
      <c r="W1" s="125"/>
      <c r="X1" s="125"/>
      <c r="Y1" s="125"/>
      <c r="Z1" s="125"/>
      <c r="AA1" s="125"/>
      <c r="AB1" s="125"/>
    </row>
    <row r="2" spans="1:28" ht="28.8">
      <c r="A2" s="126" t="s">
        <v>134</v>
      </c>
      <c r="B2" s="125"/>
      <c r="C2" s="127" t="s">
        <v>43</v>
      </c>
      <c r="D2" s="4"/>
      <c r="E2" s="125"/>
      <c r="F2" s="125"/>
      <c r="G2" s="125"/>
      <c r="H2" s="125"/>
      <c r="I2" s="125"/>
      <c r="J2" s="125"/>
      <c r="K2" s="125"/>
      <c r="L2" s="125"/>
      <c r="M2" s="125"/>
      <c r="N2" s="125"/>
      <c r="O2" s="125"/>
      <c r="P2" s="4"/>
      <c r="Q2" s="125"/>
      <c r="R2" s="125"/>
      <c r="S2" s="125"/>
      <c r="T2" s="125"/>
      <c r="U2" s="125"/>
      <c r="V2" s="125"/>
      <c r="W2" s="125"/>
      <c r="X2" s="125"/>
      <c r="Y2" s="125"/>
      <c r="Z2" s="125"/>
      <c r="AA2" s="125"/>
      <c r="AB2" s="125"/>
    </row>
    <row r="3" spans="1:28" ht="27.6">
      <c r="A3" s="128"/>
      <c r="B3" s="28" t="s">
        <v>44</v>
      </c>
      <c r="C3" s="28" t="s">
        <v>45</v>
      </c>
      <c r="D3" s="28" t="s">
        <v>46</v>
      </c>
      <c r="E3" s="28" t="s">
        <v>47</v>
      </c>
      <c r="F3" s="28" t="s">
        <v>49</v>
      </c>
      <c r="G3" s="28" t="s">
        <v>50</v>
      </c>
      <c r="H3" s="28" t="s">
        <v>51</v>
      </c>
      <c r="I3" s="28" t="s">
        <v>135</v>
      </c>
      <c r="J3" s="28" t="s">
        <v>136</v>
      </c>
      <c r="K3" s="28" t="s">
        <v>52</v>
      </c>
      <c r="L3" s="28" t="s">
        <v>53</v>
      </c>
      <c r="M3" s="28" t="s">
        <v>54</v>
      </c>
      <c r="N3" s="28" t="s">
        <v>55</v>
      </c>
      <c r="O3" s="28" t="s">
        <v>56</v>
      </c>
      <c r="P3" s="129"/>
      <c r="Q3" s="128"/>
      <c r="R3" s="128"/>
      <c r="S3" s="128"/>
      <c r="T3" s="128"/>
      <c r="U3" s="128"/>
      <c r="V3" s="128"/>
      <c r="W3" s="128"/>
      <c r="X3" s="128"/>
      <c r="Y3" s="128"/>
      <c r="Z3" s="128"/>
      <c r="AA3" s="128"/>
      <c r="AB3" s="128"/>
    </row>
    <row r="4" spans="1:28" ht="55.5" customHeight="1">
      <c r="A4" s="125"/>
      <c r="B4" s="58" t="s">
        <v>489</v>
      </c>
      <c r="C4" s="170" t="s">
        <v>490</v>
      </c>
      <c r="D4" s="244" t="s">
        <v>491</v>
      </c>
      <c r="E4" s="171" t="s">
        <v>492</v>
      </c>
      <c r="F4" s="171" t="s">
        <v>493</v>
      </c>
      <c r="G4" s="58" t="s">
        <v>62</v>
      </c>
      <c r="H4" s="136" t="s">
        <v>10</v>
      </c>
      <c r="I4" s="136" t="s">
        <v>10</v>
      </c>
      <c r="J4" s="136" t="s">
        <v>10</v>
      </c>
      <c r="K4" s="39"/>
      <c r="L4" s="39"/>
      <c r="M4" s="39"/>
      <c r="N4" s="39"/>
      <c r="O4" s="58"/>
      <c r="P4" s="4"/>
      <c r="Q4" s="125"/>
      <c r="R4" s="125"/>
      <c r="S4" s="125"/>
      <c r="T4" s="125"/>
      <c r="U4" s="125"/>
      <c r="V4" s="125"/>
      <c r="W4" s="125"/>
      <c r="X4" s="125"/>
      <c r="Y4" s="125"/>
      <c r="Z4" s="125"/>
      <c r="AA4" s="125"/>
      <c r="AB4" s="125"/>
    </row>
    <row r="5" spans="1:28" ht="46.5" customHeight="1">
      <c r="A5" s="125"/>
      <c r="B5" s="58"/>
      <c r="C5" s="170"/>
      <c r="D5" s="242"/>
      <c r="E5" s="172" t="s">
        <v>494</v>
      </c>
      <c r="F5" s="172" t="s">
        <v>495</v>
      </c>
      <c r="G5" s="58"/>
      <c r="H5" s="136"/>
      <c r="I5" s="136"/>
      <c r="J5" s="136"/>
      <c r="K5" s="39"/>
      <c r="L5" s="39"/>
      <c r="M5" s="39"/>
      <c r="N5" s="39"/>
      <c r="O5" s="58"/>
      <c r="P5" s="4"/>
      <c r="Q5" s="125"/>
      <c r="R5" s="125"/>
      <c r="S5" s="125"/>
      <c r="T5" s="125"/>
      <c r="U5" s="125"/>
      <c r="V5" s="125"/>
      <c r="W5" s="125"/>
      <c r="X5" s="125"/>
      <c r="Y5" s="125"/>
      <c r="Z5" s="125"/>
      <c r="AA5" s="125"/>
      <c r="AB5" s="125"/>
    </row>
    <row r="6" spans="1:28" ht="43.2">
      <c r="A6" s="125"/>
      <c r="B6" s="58" t="s">
        <v>496</v>
      </c>
      <c r="C6" s="170" t="s">
        <v>490</v>
      </c>
      <c r="D6" s="243"/>
      <c r="E6" s="90" t="s">
        <v>497</v>
      </c>
      <c r="F6" s="90" t="s">
        <v>498</v>
      </c>
      <c r="G6" s="58" t="s">
        <v>62</v>
      </c>
      <c r="H6" s="136" t="s">
        <v>10</v>
      </c>
      <c r="I6" s="136" t="s">
        <v>10</v>
      </c>
      <c r="J6" s="136" t="s">
        <v>10</v>
      </c>
      <c r="K6" s="39"/>
      <c r="L6" s="39"/>
      <c r="M6" s="39"/>
      <c r="N6" s="39"/>
      <c r="O6" s="58"/>
      <c r="P6" s="4"/>
      <c r="Q6" s="125"/>
      <c r="R6" s="125"/>
      <c r="S6" s="125"/>
      <c r="T6" s="125"/>
      <c r="U6" s="125"/>
      <c r="V6" s="125"/>
      <c r="W6" s="125"/>
      <c r="X6" s="125"/>
      <c r="Y6" s="125"/>
      <c r="Z6" s="125"/>
      <c r="AA6" s="125"/>
      <c r="AB6" s="125"/>
    </row>
    <row r="7" spans="1:28" ht="28.8">
      <c r="A7" s="125"/>
      <c r="B7" s="58"/>
      <c r="C7" s="170"/>
      <c r="D7" s="173"/>
      <c r="E7" s="90" t="s">
        <v>499</v>
      </c>
      <c r="F7" s="90" t="s">
        <v>500</v>
      </c>
      <c r="G7" s="58"/>
      <c r="H7" s="136"/>
      <c r="I7" s="136"/>
      <c r="J7" s="136"/>
      <c r="K7" s="39"/>
      <c r="L7" s="39"/>
      <c r="M7" s="39"/>
      <c r="N7" s="39"/>
      <c r="O7" s="58"/>
      <c r="P7" s="4"/>
      <c r="Q7" s="125"/>
      <c r="R7" s="125"/>
      <c r="S7" s="125"/>
      <c r="T7" s="125"/>
      <c r="U7" s="125"/>
      <c r="V7" s="125"/>
      <c r="W7" s="125"/>
      <c r="X7" s="125"/>
      <c r="Y7" s="125"/>
      <c r="Z7" s="125"/>
      <c r="AA7" s="125"/>
      <c r="AB7" s="125"/>
    </row>
    <row r="8" spans="1:28" ht="28.8">
      <c r="A8" s="125"/>
      <c r="B8" s="58" t="s">
        <v>501</v>
      </c>
      <c r="C8" s="170" t="s">
        <v>490</v>
      </c>
      <c r="D8" s="241" t="s">
        <v>502</v>
      </c>
      <c r="E8" s="172" t="s">
        <v>503</v>
      </c>
      <c r="F8" s="172" t="s">
        <v>504</v>
      </c>
      <c r="G8" s="58" t="s">
        <v>62</v>
      </c>
      <c r="H8" s="136" t="s">
        <v>10</v>
      </c>
      <c r="I8" s="136" t="s">
        <v>10</v>
      </c>
      <c r="J8" s="136" t="s">
        <v>10</v>
      </c>
      <c r="K8" s="39"/>
      <c r="L8" s="39"/>
      <c r="M8" s="39"/>
      <c r="N8" s="39"/>
      <c r="O8" s="58"/>
      <c r="P8" s="4"/>
      <c r="Q8" s="125"/>
      <c r="R8" s="125"/>
      <c r="S8" s="125"/>
      <c r="T8" s="125"/>
      <c r="U8" s="125"/>
      <c r="V8" s="125"/>
      <c r="W8" s="125"/>
      <c r="X8" s="125"/>
      <c r="Y8" s="125"/>
      <c r="Z8" s="125"/>
      <c r="AA8" s="125"/>
      <c r="AB8" s="125"/>
    </row>
    <row r="9" spans="1:28" ht="57.6">
      <c r="A9" s="125"/>
      <c r="B9" s="58" t="s">
        <v>505</v>
      </c>
      <c r="C9" s="170" t="s">
        <v>490</v>
      </c>
      <c r="D9" s="242"/>
      <c r="E9" s="172" t="s">
        <v>506</v>
      </c>
      <c r="F9" s="172" t="s">
        <v>507</v>
      </c>
      <c r="G9" s="58" t="s">
        <v>62</v>
      </c>
      <c r="H9" s="136" t="s">
        <v>10</v>
      </c>
      <c r="I9" s="136" t="s">
        <v>10</v>
      </c>
      <c r="J9" s="136" t="s">
        <v>10</v>
      </c>
      <c r="K9" s="39"/>
      <c r="L9" s="39"/>
      <c r="M9" s="39"/>
      <c r="N9" s="39"/>
      <c r="O9" s="58"/>
      <c r="P9" s="4"/>
      <c r="Q9" s="125"/>
      <c r="R9" s="125"/>
      <c r="S9" s="125"/>
      <c r="T9" s="125"/>
      <c r="U9" s="125"/>
      <c r="V9" s="125"/>
      <c r="W9" s="125"/>
      <c r="X9" s="125"/>
      <c r="Y9" s="125"/>
      <c r="Z9" s="125"/>
      <c r="AA9" s="125"/>
      <c r="AB9" s="125"/>
    </row>
    <row r="10" spans="1:28" ht="28.8">
      <c r="A10" s="125"/>
      <c r="B10" s="58" t="s">
        <v>508</v>
      </c>
      <c r="C10" s="170" t="s">
        <v>490</v>
      </c>
      <c r="D10" s="242"/>
      <c r="E10" s="172" t="s">
        <v>509</v>
      </c>
      <c r="F10" s="172" t="s">
        <v>510</v>
      </c>
      <c r="G10" s="58" t="s">
        <v>62</v>
      </c>
      <c r="H10" s="136" t="s">
        <v>10</v>
      </c>
      <c r="I10" s="136" t="s">
        <v>10</v>
      </c>
      <c r="J10" s="136" t="s">
        <v>10</v>
      </c>
      <c r="K10" s="39"/>
      <c r="L10" s="39"/>
      <c r="M10" s="39"/>
      <c r="N10" s="39"/>
      <c r="O10" s="58"/>
      <c r="P10" s="4"/>
      <c r="Q10" s="125"/>
      <c r="R10" s="125"/>
      <c r="S10" s="125"/>
      <c r="T10" s="125"/>
      <c r="U10" s="125"/>
      <c r="V10" s="125"/>
      <c r="W10" s="125"/>
      <c r="X10" s="125"/>
      <c r="Y10" s="125"/>
      <c r="Z10" s="125"/>
      <c r="AA10" s="125"/>
      <c r="AB10" s="125"/>
    </row>
    <row r="11" spans="1:28" ht="28.8">
      <c r="A11" s="125"/>
      <c r="B11" s="58" t="s">
        <v>511</v>
      </c>
      <c r="C11" s="170" t="s">
        <v>490</v>
      </c>
      <c r="D11" s="242"/>
      <c r="E11" s="172" t="s">
        <v>512</v>
      </c>
      <c r="F11" s="172" t="s">
        <v>513</v>
      </c>
      <c r="G11" s="58" t="s">
        <v>62</v>
      </c>
      <c r="H11" s="136" t="s">
        <v>10</v>
      </c>
      <c r="I11" s="136" t="s">
        <v>10</v>
      </c>
      <c r="J11" s="136" t="s">
        <v>10</v>
      </c>
      <c r="K11" s="39"/>
      <c r="L11" s="39"/>
      <c r="M11" s="39"/>
      <c r="N11" s="39"/>
      <c r="O11" s="58"/>
      <c r="P11" s="4"/>
      <c r="Q11" s="125"/>
      <c r="R11" s="125"/>
      <c r="S11" s="125"/>
      <c r="T11" s="125"/>
      <c r="U11" s="125"/>
      <c r="V11" s="125"/>
      <c r="W11" s="125"/>
      <c r="X11" s="125"/>
      <c r="Y11" s="125"/>
      <c r="Z11" s="125"/>
      <c r="AA11" s="125"/>
      <c r="AB11" s="125"/>
    </row>
    <row r="12" spans="1:28" ht="14.4">
      <c r="A12" s="125"/>
      <c r="B12" s="58" t="s">
        <v>514</v>
      </c>
      <c r="C12" s="170" t="s">
        <v>490</v>
      </c>
      <c r="D12" s="243"/>
      <c r="E12" s="172" t="s">
        <v>515</v>
      </c>
      <c r="F12" s="172" t="s">
        <v>516</v>
      </c>
      <c r="G12" s="58" t="s">
        <v>62</v>
      </c>
      <c r="H12" s="136" t="s">
        <v>10</v>
      </c>
      <c r="I12" s="136" t="s">
        <v>10</v>
      </c>
      <c r="J12" s="136" t="s">
        <v>10</v>
      </c>
      <c r="K12" s="39"/>
      <c r="L12" s="39"/>
      <c r="M12" s="39"/>
      <c r="N12" s="39"/>
      <c r="O12" s="58"/>
      <c r="P12" s="4"/>
      <c r="Q12" s="125"/>
      <c r="R12" s="125"/>
      <c r="S12" s="125"/>
      <c r="T12" s="125"/>
      <c r="U12" s="125"/>
      <c r="V12" s="125"/>
      <c r="W12" s="125"/>
      <c r="X12" s="125"/>
      <c r="Y12" s="125"/>
      <c r="Z12" s="125"/>
      <c r="AA12" s="125"/>
      <c r="AB12" s="125"/>
    </row>
    <row r="13" spans="1:28" ht="57.6">
      <c r="A13" s="125"/>
      <c r="B13" s="58" t="s">
        <v>517</v>
      </c>
      <c r="C13" s="170" t="s">
        <v>490</v>
      </c>
      <c r="D13" s="241" t="s">
        <v>518</v>
      </c>
      <c r="E13" s="172" t="s">
        <v>519</v>
      </c>
      <c r="F13" s="172" t="s">
        <v>520</v>
      </c>
      <c r="G13" s="58" t="s">
        <v>62</v>
      </c>
      <c r="H13" s="136" t="s">
        <v>10</v>
      </c>
      <c r="I13" s="136" t="s">
        <v>10</v>
      </c>
      <c r="J13" s="136" t="s">
        <v>10</v>
      </c>
      <c r="K13" s="39"/>
      <c r="L13" s="39"/>
      <c r="M13" s="39"/>
      <c r="N13" s="39"/>
      <c r="O13" s="58"/>
      <c r="P13" s="4"/>
      <c r="Q13" s="125"/>
      <c r="R13" s="125"/>
      <c r="S13" s="125"/>
      <c r="T13" s="125"/>
      <c r="U13" s="125"/>
      <c r="V13" s="125"/>
      <c r="W13" s="125"/>
      <c r="X13" s="125"/>
      <c r="Y13" s="125"/>
      <c r="Z13" s="125"/>
      <c r="AA13" s="125"/>
      <c r="AB13" s="125"/>
    </row>
    <row r="14" spans="1:28" ht="28.8">
      <c r="A14" s="125"/>
      <c r="B14" s="58" t="s">
        <v>521</v>
      </c>
      <c r="C14" s="170" t="s">
        <v>490</v>
      </c>
      <c r="D14" s="242"/>
      <c r="E14" s="172" t="s">
        <v>522</v>
      </c>
      <c r="F14" s="172" t="s">
        <v>523</v>
      </c>
      <c r="G14" s="58" t="s">
        <v>62</v>
      </c>
      <c r="H14" s="136" t="s">
        <v>10</v>
      </c>
      <c r="I14" s="136" t="s">
        <v>10</v>
      </c>
      <c r="J14" s="136" t="s">
        <v>10</v>
      </c>
      <c r="K14" s="39"/>
      <c r="L14" s="39"/>
      <c r="M14" s="39"/>
      <c r="N14" s="39"/>
      <c r="O14" s="58"/>
      <c r="P14" s="4"/>
      <c r="Q14" s="125"/>
      <c r="R14" s="125"/>
      <c r="S14" s="125"/>
      <c r="T14" s="125"/>
      <c r="U14" s="125"/>
      <c r="V14" s="125"/>
      <c r="W14" s="125"/>
      <c r="X14" s="125"/>
      <c r="Y14" s="125"/>
      <c r="Z14" s="125"/>
      <c r="AA14" s="125"/>
      <c r="AB14" s="125"/>
    </row>
    <row r="15" spans="1:28" ht="28.8">
      <c r="A15" s="125"/>
      <c r="B15" s="58" t="s">
        <v>524</v>
      </c>
      <c r="C15" s="170" t="s">
        <v>490</v>
      </c>
      <c r="D15" s="243"/>
      <c r="E15" s="172" t="s">
        <v>525</v>
      </c>
      <c r="F15" s="172" t="s">
        <v>526</v>
      </c>
      <c r="G15" s="58" t="s">
        <v>62</v>
      </c>
      <c r="H15" s="136" t="s">
        <v>10</v>
      </c>
      <c r="I15" s="136" t="s">
        <v>10</v>
      </c>
      <c r="J15" s="136" t="s">
        <v>10</v>
      </c>
      <c r="K15" s="39"/>
      <c r="L15" s="39"/>
      <c r="M15" s="39"/>
      <c r="N15" s="39"/>
      <c r="O15" s="58"/>
      <c r="P15" s="4"/>
      <c r="Q15" s="125"/>
      <c r="R15" s="125"/>
      <c r="S15" s="125"/>
      <c r="T15" s="125"/>
      <c r="U15" s="125"/>
      <c r="V15" s="125"/>
      <c r="W15" s="125"/>
      <c r="X15" s="125"/>
      <c r="Y15" s="125"/>
      <c r="Z15" s="125"/>
      <c r="AA15" s="125"/>
      <c r="AB15" s="125"/>
    </row>
    <row r="16" spans="1:28" ht="28.8">
      <c r="A16" s="125"/>
      <c r="B16" s="58" t="s">
        <v>527</v>
      </c>
      <c r="C16" s="170" t="s">
        <v>490</v>
      </c>
      <c r="D16" s="241" t="s">
        <v>528</v>
      </c>
      <c r="E16" s="172" t="s">
        <v>529</v>
      </c>
      <c r="F16" s="172" t="s">
        <v>530</v>
      </c>
      <c r="G16" s="58"/>
      <c r="H16" s="136" t="s">
        <v>10</v>
      </c>
      <c r="I16" s="136" t="s">
        <v>10</v>
      </c>
      <c r="J16" s="136" t="s">
        <v>10</v>
      </c>
      <c r="K16" s="39"/>
      <c r="L16" s="39"/>
      <c r="M16" s="39"/>
      <c r="N16" s="39"/>
      <c r="O16" s="58"/>
      <c r="P16" s="4"/>
      <c r="Q16" s="125"/>
      <c r="R16" s="125"/>
      <c r="S16" s="125"/>
      <c r="T16" s="125"/>
      <c r="U16" s="125"/>
      <c r="V16" s="125"/>
      <c r="W16" s="125"/>
      <c r="X16" s="125"/>
      <c r="Y16" s="125"/>
      <c r="Z16" s="125"/>
      <c r="AA16" s="125"/>
      <c r="AB16" s="125"/>
    </row>
    <row r="17" spans="1:28" ht="43.2">
      <c r="A17" s="125"/>
      <c r="B17" s="58" t="s">
        <v>531</v>
      </c>
      <c r="C17" s="170" t="s">
        <v>490</v>
      </c>
      <c r="D17" s="242"/>
      <c r="E17" s="172" t="s">
        <v>532</v>
      </c>
      <c r="F17" s="172" t="s">
        <v>533</v>
      </c>
      <c r="G17" s="58"/>
      <c r="H17" s="136" t="s">
        <v>10</v>
      </c>
      <c r="I17" s="136" t="s">
        <v>10</v>
      </c>
      <c r="J17" s="136" t="s">
        <v>10</v>
      </c>
      <c r="K17" s="39"/>
      <c r="L17" s="39"/>
      <c r="M17" s="39"/>
      <c r="N17" s="39"/>
      <c r="O17" s="58"/>
      <c r="P17" s="4"/>
      <c r="Q17" s="125"/>
      <c r="R17" s="125"/>
      <c r="S17" s="125"/>
      <c r="T17" s="125"/>
      <c r="U17" s="125"/>
      <c r="V17" s="125"/>
      <c r="W17" s="125"/>
      <c r="X17" s="125"/>
      <c r="Y17" s="125"/>
      <c r="Z17" s="125"/>
      <c r="AA17" s="125"/>
      <c r="AB17" s="125"/>
    </row>
    <row r="18" spans="1:28" ht="72">
      <c r="A18" s="125"/>
      <c r="B18" s="58" t="s">
        <v>534</v>
      </c>
      <c r="C18" s="170" t="s">
        <v>490</v>
      </c>
      <c r="D18" s="242"/>
      <c r="E18" s="172" t="s">
        <v>535</v>
      </c>
      <c r="F18" s="172" t="s">
        <v>536</v>
      </c>
      <c r="G18" s="58"/>
      <c r="H18" s="136" t="s">
        <v>10</v>
      </c>
      <c r="I18" s="136" t="s">
        <v>10</v>
      </c>
      <c r="J18" s="136" t="s">
        <v>10</v>
      </c>
      <c r="K18" s="39"/>
      <c r="L18" s="39"/>
      <c r="M18" s="39"/>
      <c r="N18" s="39"/>
      <c r="O18" s="58"/>
      <c r="P18" s="4"/>
      <c r="Q18" s="125"/>
      <c r="R18" s="125"/>
      <c r="S18" s="125"/>
      <c r="T18" s="125"/>
      <c r="U18" s="125"/>
      <c r="V18" s="125"/>
      <c r="W18" s="125"/>
      <c r="X18" s="125"/>
      <c r="Y18" s="125"/>
      <c r="Z18" s="125"/>
      <c r="AA18" s="125"/>
      <c r="AB18" s="125"/>
    </row>
    <row r="19" spans="1:28" ht="72">
      <c r="A19" s="125"/>
      <c r="B19" s="58" t="s">
        <v>537</v>
      </c>
      <c r="C19" s="170" t="s">
        <v>490</v>
      </c>
      <c r="D19" s="242"/>
      <c r="E19" s="172" t="s">
        <v>538</v>
      </c>
      <c r="F19" s="172" t="s">
        <v>539</v>
      </c>
      <c r="G19" s="58"/>
      <c r="H19" s="136" t="s">
        <v>10</v>
      </c>
      <c r="I19" s="136" t="s">
        <v>10</v>
      </c>
      <c r="J19" s="136" t="s">
        <v>10</v>
      </c>
      <c r="K19" s="39"/>
      <c r="L19" s="39"/>
      <c r="M19" s="39"/>
      <c r="N19" s="39"/>
      <c r="O19" s="58"/>
      <c r="P19" s="4"/>
      <c r="Q19" s="125"/>
      <c r="R19" s="125"/>
      <c r="S19" s="125"/>
      <c r="T19" s="125"/>
      <c r="U19" s="125"/>
      <c r="V19" s="125"/>
      <c r="W19" s="125"/>
      <c r="X19" s="125"/>
      <c r="Y19" s="125"/>
      <c r="Z19" s="125"/>
      <c r="AA19" s="125"/>
      <c r="AB19" s="125"/>
    </row>
    <row r="20" spans="1:28" ht="72">
      <c r="A20" s="125"/>
      <c r="B20" s="58" t="s">
        <v>540</v>
      </c>
      <c r="C20" s="170" t="s">
        <v>490</v>
      </c>
      <c r="D20" s="242"/>
      <c r="E20" s="172" t="s">
        <v>541</v>
      </c>
      <c r="F20" s="172" t="s">
        <v>542</v>
      </c>
      <c r="G20" s="58"/>
      <c r="H20" s="136" t="s">
        <v>10</v>
      </c>
      <c r="I20" s="136" t="s">
        <v>10</v>
      </c>
      <c r="J20" s="136" t="s">
        <v>10</v>
      </c>
      <c r="K20" s="39"/>
      <c r="L20" s="39"/>
      <c r="M20" s="39"/>
      <c r="N20" s="39"/>
      <c r="O20" s="58"/>
      <c r="P20" s="4"/>
      <c r="Q20" s="125"/>
      <c r="R20" s="125"/>
      <c r="S20" s="125"/>
      <c r="T20" s="125"/>
      <c r="U20" s="125"/>
      <c r="V20" s="125"/>
      <c r="W20" s="125"/>
      <c r="X20" s="125"/>
      <c r="Y20" s="125"/>
      <c r="Z20" s="125"/>
      <c r="AA20" s="125"/>
      <c r="AB20" s="125"/>
    </row>
    <row r="21" spans="1:28" ht="86.4">
      <c r="A21" s="125"/>
      <c r="B21" s="58" t="s">
        <v>543</v>
      </c>
      <c r="C21" s="170" t="s">
        <v>490</v>
      </c>
      <c r="D21" s="242"/>
      <c r="E21" s="172" t="s">
        <v>544</v>
      </c>
      <c r="F21" s="172" t="s">
        <v>545</v>
      </c>
      <c r="G21" s="58"/>
      <c r="H21" s="136" t="s">
        <v>10</v>
      </c>
      <c r="I21" s="136" t="s">
        <v>10</v>
      </c>
      <c r="J21" s="136" t="s">
        <v>10</v>
      </c>
      <c r="K21" s="39"/>
      <c r="L21" s="39"/>
      <c r="M21" s="39"/>
      <c r="N21" s="39"/>
      <c r="O21" s="58"/>
      <c r="P21" s="4"/>
      <c r="Q21" s="125"/>
      <c r="R21" s="125"/>
      <c r="S21" s="125"/>
      <c r="T21" s="125"/>
      <c r="U21" s="125"/>
      <c r="V21" s="125"/>
      <c r="W21" s="125"/>
      <c r="X21" s="125"/>
      <c r="Y21" s="125"/>
      <c r="Z21" s="125"/>
      <c r="AA21" s="125"/>
      <c r="AB21" s="125"/>
    </row>
    <row r="22" spans="1:28" ht="57.6">
      <c r="A22" s="125"/>
      <c r="B22" s="58" t="s">
        <v>546</v>
      </c>
      <c r="C22" s="170" t="s">
        <v>490</v>
      </c>
      <c r="D22" s="242"/>
      <c r="E22" s="172" t="s">
        <v>547</v>
      </c>
      <c r="F22" s="172" t="s">
        <v>548</v>
      </c>
      <c r="G22" s="58"/>
      <c r="H22" s="136" t="s">
        <v>10</v>
      </c>
      <c r="I22" s="136" t="s">
        <v>10</v>
      </c>
      <c r="J22" s="136" t="s">
        <v>10</v>
      </c>
      <c r="K22" s="39"/>
      <c r="L22" s="39"/>
      <c r="M22" s="39"/>
      <c r="N22" s="39"/>
      <c r="O22" s="58"/>
      <c r="P22" s="4"/>
      <c r="Q22" s="125"/>
      <c r="R22" s="125"/>
      <c r="S22" s="125"/>
      <c r="T22" s="125"/>
      <c r="U22" s="125"/>
      <c r="V22" s="125"/>
      <c r="W22" s="125"/>
      <c r="X22" s="125"/>
      <c r="Y22" s="125"/>
      <c r="Z22" s="125"/>
      <c r="AA22" s="125"/>
      <c r="AB22" s="125"/>
    </row>
    <row r="23" spans="1:28" ht="86.4">
      <c r="A23" s="125"/>
      <c r="B23" s="58" t="s">
        <v>549</v>
      </c>
      <c r="C23" s="170" t="s">
        <v>490</v>
      </c>
      <c r="D23" s="242"/>
      <c r="E23" s="172" t="s">
        <v>550</v>
      </c>
      <c r="F23" s="172" t="s">
        <v>551</v>
      </c>
      <c r="G23" s="58"/>
      <c r="H23" s="136" t="s">
        <v>10</v>
      </c>
      <c r="I23" s="136" t="s">
        <v>10</v>
      </c>
      <c r="J23" s="136" t="s">
        <v>10</v>
      </c>
      <c r="K23" s="39"/>
      <c r="L23" s="39"/>
      <c r="M23" s="39"/>
      <c r="N23" s="39"/>
      <c r="O23" s="58"/>
      <c r="P23" s="4"/>
      <c r="Q23" s="125"/>
      <c r="R23" s="125"/>
      <c r="S23" s="125"/>
      <c r="T23" s="125"/>
      <c r="U23" s="125"/>
      <c r="V23" s="125"/>
      <c r="W23" s="125"/>
      <c r="X23" s="125"/>
      <c r="Y23" s="125"/>
      <c r="Z23" s="125"/>
      <c r="AA23" s="125"/>
      <c r="AB23" s="125"/>
    </row>
    <row r="24" spans="1:28" ht="57.6">
      <c r="A24" s="125"/>
      <c r="B24" s="58" t="s">
        <v>552</v>
      </c>
      <c r="C24" s="170" t="s">
        <v>490</v>
      </c>
      <c r="D24" s="243"/>
      <c r="E24" s="172" t="s">
        <v>553</v>
      </c>
      <c r="F24" s="172" t="s">
        <v>554</v>
      </c>
      <c r="G24" s="58"/>
      <c r="H24" s="136" t="s">
        <v>10</v>
      </c>
      <c r="I24" s="136" t="s">
        <v>10</v>
      </c>
      <c r="J24" s="136" t="s">
        <v>10</v>
      </c>
      <c r="K24" s="39"/>
      <c r="L24" s="39"/>
      <c r="M24" s="39"/>
      <c r="N24" s="39"/>
      <c r="O24" s="58"/>
      <c r="P24" s="4"/>
      <c r="Q24" s="125"/>
      <c r="R24" s="125"/>
      <c r="S24" s="125"/>
      <c r="T24" s="125"/>
      <c r="U24" s="125"/>
      <c r="V24" s="125"/>
      <c r="W24" s="125"/>
      <c r="X24" s="125"/>
      <c r="Y24" s="125"/>
      <c r="Z24" s="125"/>
      <c r="AA24" s="125"/>
      <c r="AB24" s="125"/>
    </row>
    <row r="25" spans="1:28" ht="100.8">
      <c r="A25" s="125"/>
      <c r="B25" s="58" t="s">
        <v>555</v>
      </c>
      <c r="C25" s="170" t="s">
        <v>490</v>
      </c>
      <c r="D25" s="244" t="s">
        <v>556</v>
      </c>
      <c r="E25" s="172" t="s">
        <v>557</v>
      </c>
      <c r="F25" s="172" t="s">
        <v>558</v>
      </c>
      <c r="G25" s="58"/>
      <c r="H25" s="136" t="s">
        <v>10</v>
      </c>
      <c r="I25" s="136" t="s">
        <v>10</v>
      </c>
      <c r="J25" s="136" t="s">
        <v>10</v>
      </c>
      <c r="K25" s="39"/>
      <c r="L25" s="39"/>
      <c r="M25" s="39"/>
      <c r="N25" s="39"/>
      <c r="O25" s="58"/>
      <c r="P25" s="4"/>
      <c r="Q25" s="125"/>
      <c r="R25" s="125"/>
      <c r="S25" s="125"/>
      <c r="T25" s="125"/>
      <c r="U25" s="125"/>
      <c r="V25" s="125"/>
      <c r="W25" s="125"/>
      <c r="X25" s="125"/>
      <c r="Y25" s="125"/>
      <c r="Z25" s="125"/>
      <c r="AA25" s="125"/>
      <c r="AB25" s="125"/>
    </row>
    <row r="26" spans="1:28" ht="43.2">
      <c r="A26" s="125"/>
      <c r="B26" s="58" t="s">
        <v>559</v>
      </c>
      <c r="C26" s="170" t="s">
        <v>490</v>
      </c>
      <c r="D26" s="242"/>
      <c r="E26" s="172" t="s">
        <v>560</v>
      </c>
      <c r="F26" s="172" t="s">
        <v>533</v>
      </c>
      <c r="G26" s="58"/>
      <c r="H26" s="136" t="s">
        <v>10</v>
      </c>
      <c r="I26" s="136" t="s">
        <v>10</v>
      </c>
      <c r="J26" s="136" t="s">
        <v>10</v>
      </c>
      <c r="K26" s="39"/>
      <c r="L26" s="39"/>
      <c r="M26" s="39"/>
      <c r="N26" s="39"/>
      <c r="O26" s="58"/>
      <c r="P26" s="4"/>
      <c r="Q26" s="125"/>
      <c r="R26" s="125"/>
      <c r="S26" s="125"/>
      <c r="T26" s="125"/>
      <c r="U26" s="125"/>
      <c r="V26" s="125"/>
      <c r="W26" s="125"/>
      <c r="X26" s="125"/>
      <c r="Y26" s="125"/>
      <c r="Z26" s="125"/>
      <c r="AA26" s="125"/>
      <c r="AB26" s="125"/>
    </row>
    <row r="27" spans="1:28" ht="72">
      <c r="A27" s="125"/>
      <c r="B27" s="58" t="s">
        <v>561</v>
      </c>
      <c r="C27" s="170" t="s">
        <v>490</v>
      </c>
      <c r="D27" s="242"/>
      <c r="E27" s="172" t="s">
        <v>562</v>
      </c>
      <c r="F27" s="172" t="s">
        <v>563</v>
      </c>
      <c r="G27" s="58"/>
      <c r="H27" s="136" t="s">
        <v>10</v>
      </c>
      <c r="I27" s="136" t="s">
        <v>10</v>
      </c>
      <c r="J27" s="136" t="s">
        <v>10</v>
      </c>
      <c r="K27" s="39"/>
      <c r="L27" s="39"/>
      <c r="M27" s="39"/>
      <c r="N27" s="39"/>
      <c r="O27" s="58"/>
      <c r="P27" s="4"/>
      <c r="Q27" s="125"/>
      <c r="R27" s="125"/>
      <c r="S27" s="125"/>
      <c r="T27" s="125"/>
      <c r="U27" s="125"/>
      <c r="V27" s="125"/>
      <c r="W27" s="125"/>
      <c r="X27" s="125"/>
      <c r="Y27" s="125"/>
      <c r="Z27" s="125"/>
      <c r="AA27" s="125"/>
      <c r="AB27" s="125"/>
    </row>
    <row r="28" spans="1:28" ht="72">
      <c r="A28" s="125"/>
      <c r="B28" s="58" t="s">
        <v>564</v>
      </c>
      <c r="C28" s="170" t="s">
        <v>490</v>
      </c>
      <c r="D28" s="242"/>
      <c r="E28" s="172" t="s">
        <v>565</v>
      </c>
      <c r="F28" s="172" t="s">
        <v>566</v>
      </c>
      <c r="G28" s="58"/>
      <c r="H28" s="136" t="s">
        <v>10</v>
      </c>
      <c r="I28" s="136" t="s">
        <v>10</v>
      </c>
      <c r="J28" s="136" t="s">
        <v>10</v>
      </c>
      <c r="K28" s="39"/>
      <c r="L28" s="39"/>
      <c r="M28" s="39"/>
      <c r="N28" s="39"/>
      <c r="O28" s="58"/>
      <c r="P28" s="4"/>
      <c r="Q28" s="125"/>
      <c r="R28" s="125"/>
      <c r="S28" s="125"/>
      <c r="T28" s="125"/>
      <c r="U28" s="125"/>
      <c r="V28" s="125"/>
      <c r="W28" s="125"/>
      <c r="X28" s="125"/>
      <c r="Y28" s="125"/>
      <c r="Z28" s="125"/>
      <c r="AA28" s="125"/>
      <c r="AB28" s="125"/>
    </row>
    <row r="29" spans="1:28" ht="72">
      <c r="A29" s="125"/>
      <c r="B29" s="58" t="s">
        <v>567</v>
      </c>
      <c r="C29" s="170" t="s">
        <v>490</v>
      </c>
      <c r="D29" s="243"/>
      <c r="E29" s="172" t="s">
        <v>568</v>
      </c>
      <c r="F29" s="172" t="s">
        <v>569</v>
      </c>
      <c r="G29" s="58" t="s">
        <v>62</v>
      </c>
      <c r="H29" s="136" t="s">
        <v>10</v>
      </c>
      <c r="I29" s="136" t="s">
        <v>10</v>
      </c>
      <c r="J29" s="136" t="s">
        <v>10</v>
      </c>
      <c r="K29" s="39"/>
      <c r="L29" s="39"/>
      <c r="M29" s="39"/>
      <c r="N29" s="39"/>
      <c r="O29" s="58"/>
      <c r="P29" s="4"/>
      <c r="Q29" s="125"/>
      <c r="R29" s="125"/>
      <c r="S29" s="125"/>
      <c r="T29" s="125"/>
      <c r="U29" s="125"/>
      <c r="V29" s="125"/>
      <c r="W29" s="125"/>
      <c r="X29" s="125"/>
      <c r="Y29" s="125"/>
      <c r="Z29" s="125"/>
      <c r="AA29" s="125"/>
      <c r="AB29" s="125"/>
    </row>
    <row r="30" spans="1:28" ht="43.2">
      <c r="A30" s="125"/>
      <c r="B30" s="58" t="s">
        <v>570</v>
      </c>
      <c r="C30" s="170" t="s">
        <v>490</v>
      </c>
      <c r="D30" s="241" t="s">
        <v>571</v>
      </c>
      <c r="E30" s="172" t="s">
        <v>572</v>
      </c>
      <c r="F30" s="172" t="s">
        <v>573</v>
      </c>
      <c r="G30" s="58" t="s">
        <v>62</v>
      </c>
      <c r="H30" s="136" t="s">
        <v>10</v>
      </c>
      <c r="I30" s="136" t="s">
        <v>10</v>
      </c>
      <c r="J30" s="136" t="s">
        <v>10</v>
      </c>
      <c r="K30" s="39"/>
      <c r="L30" s="39"/>
      <c r="M30" s="39"/>
      <c r="N30" s="39"/>
      <c r="O30" s="58"/>
      <c r="P30" s="4"/>
      <c r="Q30" s="125"/>
      <c r="R30" s="125"/>
      <c r="S30" s="125"/>
      <c r="T30" s="125"/>
      <c r="U30" s="125"/>
      <c r="V30" s="125"/>
      <c r="W30" s="125"/>
      <c r="X30" s="125"/>
      <c r="Y30" s="125"/>
      <c r="Z30" s="125"/>
      <c r="AA30" s="125"/>
      <c r="AB30" s="125"/>
    </row>
    <row r="31" spans="1:28" ht="43.2">
      <c r="A31" s="125"/>
      <c r="B31" s="58" t="s">
        <v>574</v>
      </c>
      <c r="C31" s="170" t="s">
        <v>490</v>
      </c>
      <c r="D31" s="242"/>
      <c r="E31" s="172" t="s">
        <v>575</v>
      </c>
      <c r="F31" s="172" t="s">
        <v>576</v>
      </c>
      <c r="G31" s="58" t="s">
        <v>62</v>
      </c>
      <c r="H31" s="136" t="s">
        <v>10</v>
      </c>
      <c r="I31" s="136" t="s">
        <v>10</v>
      </c>
      <c r="J31" s="136" t="s">
        <v>10</v>
      </c>
      <c r="K31" s="39"/>
      <c r="L31" s="39"/>
      <c r="M31" s="39"/>
      <c r="N31" s="39"/>
      <c r="O31" s="58"/>
      <c r="P31" s="4"/>
      <c r="Q31" s="125"/>
      <c r="R31" s="125"/>
      <c r="S31" s="125"/>
      <c r="T31" s="125"/>
      <c r="U31" s="125"/>
      <c r="V31" s="125"/>
      <c r="W31" s="125"/>
      <c r="X31" s="125"/>
      <c r="Y31" s="125"/>
      <c r="Z31" s="125"/>
      <c r="AA31" s="125"/>
      <c r="AB31" s="125"/>
    </row>
    <row r="32" spans="1:28" ht="28.8">
      <c r="A32" s="125"/>
      <c r="B32" s="58" t="s">
        <v>577</v>
      </c>
      <c r="C32" s="170" t="s">
        <v>490</v>
      </c>
      <c r="D32" s="242"/>
      <c r="E32" s="172" t="s">
        <v>578</v>
      </c>
      <c r="F32" s="172" t="s">
        <v>579</v>
      </c>
      <c r="G32" s="58" t="s">
        <v>62</v>
      </c>
      <c r="H32" s="136" t="s">
        <v>10</v>
      </c>
      <c r="I32" s="136" t="s">
        <v>10</v>
      </c>
      <c r="J32" s="136" t="s">
        <v>10</v>
      </c>
      <c r="K32" s="39"/>
      <c r="L32" s="39"/>
      <c r="M32" s="39"/>
      <c r="N32" s="39"/>
      <c r="O32" s="58"/>
      <c r="P32" s="4"/>
      <c r="Q32" s="125"/>
      <c r="R32" s="125"/>
      <c r="S32" s="125"/>
      <c r="T32" s="125"/>
      <c r="U32" s="125"/>
      <c r="V32" s="125"/>
      <c r="W32" s="125"/>
      <c r="X32" s="125"/>
      <c r="Y32" s="125"/>
      <c r="Z32" s="125"/>
      <c r="AA32" s="125"/>
      <c r="AB32" s="125"/>
    </row>
    <row r="33" spans="1:28" ht="28.8">
      <c r="A33" s="125"/>
      <c r="B33" s="58" t="s">
        <v>580</v>
      </c>
      <c r="C33" s="170" t="s">
        <v>490</v>
      </c>
      <c r="D33" s="242"/>
      <c r="E33" s="172" t="s">
        <v>581</v>
      </c>
      <c r="F33" s="172" t="s">
        <v>582</v>
      </c>
      <c r="G33" s="58" t="s">
        <v>62</v>
      </c>
      <c r="H33" s="136" t="s">
        <v>10</v>
      </c>
      <c r="I33" s="136" t="s">
        <v>10</v>
      </c>
      <c r="J33" s="136" t="s">
        <v>10</v>
      </c>
      <c r="K33" s="39"/>
      <c r="L33" s="39"/>
      <c r="M33" s="39"/>
      <c r="N33" s="39"/>
      <c r="O33" s="58"/>
      <c r="P33" s="4"/>
      <c r="Q33" s="125"/>
      <c r="R33" s="125"/>
      <c r="S33" s="125"/>
      <c r="T33" s="125"/>
      <c r="U33" s="125"/>
      <c r="V33" s="125"/>
      <c r="W33" s="125"/>
      <c r="X33" s="125"/>
      <c r="Y33" s="125"/>
      <c r="Z33" s="125"/>
      <c r="AA33" s="125"/>
      <c r="AB33" s="125"/>
    </row>
    <row r="34" spans="1:28" ht="72">
      <c r="A34" s="125"/>
      <c r="B34" s="58" t="s">
        <v>583</v>
      </c>
      <c r="C34" s="170" t="s">
        <v>490</v>
      </c>
      <c r="D34" s="242"/>
      <c r="E34" s="172" t="s">
        <v>584</v>
      </c>
      <c r="F34" s="172" t="s">
        <v>585</v>
      </c>
      <c r="G34" s="58" t="s">
        <v>62</v>
      </c>
      <c r="H34" s="136" t="s">
        <v>10</v>
      </c>
      <c r="I34" s="136" t="s">
        <v>10</v>
      </c>
      <c r="J34" s="136" t="s">
        <v>10</v>
      </c>
      <c r="K34" s="39"/>
      <c r="L34" s="39"/>
      <c r="M34" s="39"/>
      <c r="N34" s="39"/>
      <c r="O34" s="58"/>
      <c r="P34" s="4"/>
      <c r="Q34" s="125"/>
      <c r="R34" s="125"/>
      <c r="S34" s="125"/>
      <c r="T34" s="125"/>
      <c r="U34" s="125"/>
      <c r="V34" s="125"/>
      <c r="W34" s="125"/>
      <c r="X34" s="125"/>
      <c r="Y34" s="125"/>
      <c r="Z34" s="125"/>
      <c r="AA34" s="125"/>
      <c r="AB34" s="125"/>
    </row>
    <row r="35" spans="1:28" ht="28.8">
      <c r="A35" s="125"/>
      <c r="B35" s="58" t="s">
        <v>586</v>
      </c>
      <c r="C35" s="170" t="s">
        <v>490</v>
      </c>
      <c r="D35" s="243"/>
      <c r="E35" s="172" t="s">
        <v>587</v>
      </c>
      <c r="F35" s="172" t="s">
        <v>588</v>
      </c>
      <c r="G35" s="58" t="s">
        <v>62</v>
      </c>
      <c r="H35" s="136" t="s">
        <v>10</v>
      </c>
      <c r="I35" s="136" t="s">
        <v>10</v>
      </c>
      <c r="J35" s="136" t="s">
        <v>10</v>
      </c>
      <c r="K35" s="39"/>
      <c r="L35" s="39"/>
      <c r="M35" s="39"/>
      <c r="N35" s="39"/>
      <c r="O35" s="58"/>
      <c r="P35" s="4"/>
      <c r="Q35" s="125"/>
      <c r="R35" s="125"/>
      <c r="S35" s="125"/>
      <c r="T35" s="125"/>
      <c r="U35" s="125"/>
      <c r="V35" s="125"/>
      <c r="W35" s="125"/>
      <c r="X35" s="125"/>
      <c r="Y35" s="125"/>
      <c r="Z35" s="125"/>
      <c r="AA35" s="125"/>
      <c r="AB35" s="125"/>
    </row>
    <row r="36" spans="1:28" ht="115.2">
      <c r="A36" s="125"/>
      <c r="B36" s="58" t="s">
        <v>589</v>
      </c>
      <c r="C36" s="170" t="s">
        <v>490</v>
      </c>
      <c r="D36" s="244" t="s">
        <v>590</v>
      </c>
      <c r="E36" s="172" t="s">
        <v>591</v>
      </c>
      <c r="F36" s="172" t="s">
        <v>592</v>
      </c>
      <c r="G36" s="58"/>
      <c r="H36" s="136" t="s">
        <v>10</v>
      </c>
      <c r="I36" s="136" t="s">
        <v>10</v>
      </c>
      <c r="J36" s="136" t="s">
        <v>10</v>
      </c>
      <c r="K36" s="39"/>
      <c r="L36" s="39"/>
      <c r="M36" s="39"/>
      <c r="N36" s="39"/>
      <c r="O36" s="58"/>
      <c r="P36" s="4"/>
      <c r="Q36" s="125"/>
      <c r="R36" s="125"/>
      <c r="S36" s="125"/>
      <c r="T36" s="125"/>
      <c r="U36" s="125"/>
      <c r="V36" s="125"/>
      <c r="W36" s="125"/>
      <c r="X36" s="125"/>
      <c r="Y36" s="125"/>
      <c r="Z36" s="125"/>
      <c r="AA36" s="125"/>
      <c r="AB36" s="125"/>
    </row>
    <row r="37" spans="1:28" ht="28.8">
      <c r="A37" s="125"/>
      <c r="B37" s="58" t="s">
        <v>593</v>
      </c>
      <c r="C37" s="170" t="s">
        <v>490</v>
      </c>
      <c r="D37" s="242"/>
      <c r="E37" s="172" t="s">
        <v>594</v>
      </c>
      <c r="F37" s="172" t="s">
        <v>595</v>
      </c>
      <c r="G37" s="58"/>
      <c r="H37" s="136" t="s">
        <v>10</v>
      </c>
      <c r="I37" s="136" t="s">
        <v>10</v>
      </c>
      <c r="J37" s="136" t="s">
        <v>10</v>
      </c>
      <c r="K37" s="39"/>
      <c r="L37" s="39"/>
      <c r="M37" s="39"/>
      <c r="N37" s="39"/>
      <c r="O37" s="58"/>
      <c r="P37" s="4"/>
      <c r="Q37" s="125"/>
      <c r="R37" s="125"/>
      <c r="S37" s="125"/>
      <c r="T37" s="125"/>
      <c r="U37" s="125"/>
      <c r="V37" s="125"/>
      <c r="W37" s="125"/>
      <c r="X37" s="125"/>
      <c r="Y37" s="125"/>
      <c r="Z37" s="125"/>
      <c r="AA37" s="125"/>
      <c r="AB37" s="125"/>
    </row>
    <row r="38" spans="1:28" ht="28.8">
      <c r="A38" s="125"/>
      <c r="B38" s="58"/>
      <c r="C38" s="170" t="s">
        <v>490</v>
      </c>
      <c r="D38" s="242"/>
      <c r="E38" s="174" t="s">
        <v>596</v>
      </c>
      <c r="F38" s="174" t="s">
        <v>597</v>
      </c>
      <c r="G38" s="58"/>
      <c r="H38" s="136"/>
      <c r="I38" s="136"/>
      <c r="J38" s="136"/>
      <c r="K38" s="39"/>
      <c r="L38" s="39"/>
      <c r="M38" s="39"/>
      <c r="N38" s="39"/>
      <c r="O38" s="58"/>
      <c r="P38" s="4"/>
      <c r="Q38" s="125"/>
      <c r="R38" s="125"/>
      <c r="S38" s="125"/>
      <c r="T38" s="125"/>
      <c r="U38" s="125"/>
      <c r="V38" s="125"/>
      <c r="W38" s="125"/>
      <c r="X38" s="125"/>
      <c r="Y38" s="125"/>
      <c r="Z38" s="125"/>
      <c r="AA38" s="125"/>
      <c r="AB38" s="125"/>
    </row>
    <row r="39" spans="1:28" ht="57.6">
      <c r="A39" s="125"/>
      <c r="B39" s="58" t="s">
        <v>598</v>
      </c>
      <c r="C39" s="170" t="s">
        <v>490</v>
      </c>
      <c r="D39" s="242"/>
      <c r="E39" s="172" t="s">
        <v>599</v>
      </c>
      <c r="F39" s="172" t="s">
        <v>600</v>
      </c>
      <c r="G39" s="58"/>
      <c r="H39" s="136" t="s">
        <v>10</v>
      </c>
      <c r="I39" s="136" t="s">
        <v>10</v>
      </c>
      <c r="J39" s="136" t="s">
        <v>10</v>
      </c>
      <c r="K39" s="39"/>
      <c r="L39" s="39"/>
      <c r="M39" s="39"/>
      <c r="N39" s="39"/>
      <c r="O39" s="58"/>
      <c r="P39" s="4"/>
      <c r="Q39" s="125"/>
      <c r="R39" s="125"/>
      <c r="S39" s="125"/>
      <c r="T39" s="125"/>
      <c r="U39" s="125"/>
      <c r="V39" s="125"/>
      <c r="W39" s="125"/>
      <c r="X39" s="125"/>
      <c r="Y39" s="125"/>
      <c r="Z39" s="125"/>
      <c r="AA39" s="125"/>
      <c r="AB39" s="125"/>
    </row>
    <row r="40" spans="1:28" ht="57.6">
      <c r="A40" s="125"/>
      <c r="B40" s="58" t="s">
        <v>601</v>
      </c>
      <c r="C40" s="170" t="s">
        <v>490</v>
      </c>
      <c r="D40" s="242"/>
      <c r="E40" s="172" t="s">
        <v>602</v>
      </c>
      <c r="F40" s="172" t="s">
        <v>603</v>
      </c>
      <c r="G40" s="58"/>
      <c r="H40" s="136" t="s">
        <v>10</v>
      </c>
      <c r="I40" s="136" t="s">
        <v>10</v>
      </c>
      <c r="J40" s="136" t="s">
        <v>10</v>
      </c>
      <c r="K40" s="39"/>
      <c r="L40" s="39"/>
      <c r="M40" s="39"/>
      <c r="N40" s="39"/>
      <c r="O40" s="58"/>
      <c r="P40" s="4"/>
      <c r="Q40" s="125"/>
      <c r="R40" s="125"/>
      <c r="S40" s="125"/>
      <c r="T40" s="125"/>
      <c r="U40" s="125"/>
      <c r="V40" s="125"/>
      <c r="W40" s="125"/>
      <c r="X40" s="125"/>
      <c r="Y40" s="125"/>
      <c r="Z40" s="125"/>
      <c r="AA40" s="125"/>
      <c r="AB40" s="125"/>
    </row>
    <row r="41" spans="1:28" ht="28.8">
      <c r="A41" s="125"/>
      <c r="B41" s="58" t="s">
        <v>604</v>
      </c>
      <c r="C41" s="170" t="s">
        <v>490</v>
      </c>
      <c r="D41" s="242"/>
      <c r="E41" s="172" t="s">
        <v>605</v>
      </c>
      <c r="F41" s="172" t="s">
        <v>606</v>
      </c>
      <c r="G41" s="58"/>
      <c r="H41" s="136" t="s">
        <v>10</v>
      </c>
      <c r="I41" s="136" t="s">
        <v>10</v>
      </c>
      <c r="J41" s="136" t="s">
        <v>10</v>
      </c>
      <c r="K41" s="39"/>
      <c r="L41" s="39"/>
      <c r="M41" s="39"/>
      <c r="N41" s="39"/>
      <c r="O41" s="58"/>
      <c r="P41" s="4"/>
      <c r="Q41" s="125"/>
      <c r="R41" s="125"/>
      <c r="S41" s="125"/>
      <c r="T41" s="125"/>
      <c r="U41" s="125"/>
      <c r="V41" s="125"/>
      <c r="W41" s="125"/>
      <c r="X41" s="125"/>
      <c r="Y41" s="125"/>
      <c r="Z41" s="125"/>
      <c r="AA41" s="125"/>
      <c r="AB41" s="125"/>
    </row>
    <row r="42" spans="1:28" ht="28.8">
      <c r="A42" s="125"/>
      <c r="B42" s="58" t="s">
        <v>607</v>
      </c>
      <c r="C42" s="170" t="s">
        <v>490</v>
      </c>
      <c r="D42" s="242"/>
      <c r="E42" s="172" t="s">
        <v>608</v>
      </c>
      <c r="F42" s="172" t="s">
        <v>609</v>
      </c>
      <c r="G42" s="58"/>
      <c r="H42" s="136" t="s">
        <v>10</v>
      </c>
      <c r="I42" s="136" t="s">
        <v>10</v>
      </c>
      <c r="J42" s="136" t="s">
        <v>10</v>
      </c>
      <c r="K42" s="39"/>
      <c r="L42" s="39"/>
      <c r="M42" s="39"/>
      <c r="N42" s="39"/>
      <c r="O42" s="58"/>
      <c r="P42" s="4"/>
      <c r="Q42" s="125"/>
      <c r="R42" s="125"/>
      <c r="S42" s="125"/>
      <c r="T42" s="125"/>
      <c r="U42" s="125"/>
      <c r="V42" s="125"/>
      <c r="W42" s="125"/>
      <c r="X42" s="125"/>
      <c r="Y42" s="125"/>
      <c r="Z42" s="125"/>
      <c r="AA42" s="125"/>
      <c r="AB42" s="125"/>
    </row>
    <row r="43" spans="1:28" ht="28.8">
      <c r="A43" s="125"/>
      <c r="B43" s="58" t="s">
        <v>610</v>
      </c>
      <c r="C43" s="170" t="s">
        <v>490</v>
      </c>
      <c r="D43" s="242"/>
      <c r="E43" s="172" t="s">
        <v>611</v>
      </c>
      <c r="F43" s="172" t="s">
        <v>612</v>
      </c>
      <c r="G43" s="58"/>
      <c r="H43" s="136" t="s">
        <v>10</v>
      </c>
      <c r="I43" s="136" t="s">
        <v>10</v>
      </c>
      <c r="J43" s="136" t="s">
        <v>10</v>
      </c>
      <c r="K43" s="39"/>
      <c r="L43" s="39"/>
      <c r="M43" s="39"/>
      <c r="N43" s="39"/>
      <c r="O43" s="58"/>
      <c r="P43" s="4"/>
      <c r="Q43" s="125"/>
      <c r="R43" s="125"/>
      <c r="S43" s="125"/>
      <c r="T43" s="125"/>
      <c r="U43" s="125"/>
      <c r="V43" s="125"/>
      <c r="W43" s="125"/>
      <c r="X43" s="125"/>
      <c r="Y43" s="125"/>
      <c r="Z43" s="125"/>
      <c r="AA43" s="125"/>
      <c r="AB43" s="125"/>
    </row>
    <row r="44" spans="1:28" ht="57.6">
      <c r="A44" s="125"/>
      <c r="B44" s="58" t="s">
        <v>613</v>
      </c>
      <c r="C44" s="175" t="s">
        <v>490</v>
      </c>
      <c r="D44" s="242"/>
      <c r="E44" s="172" t="s">
        <v>614</v>
      </c>
      <c r="F44" s="172" t="s">
        <v>615</v>
      </c>
      <c r="G44" s="58"/>
      <c r="H44" s="136" t="s">
        <v>10</v>
      </c>
      <c r="I44" s="136" t="s">
        <v>10</v>
      </c>
      <c r="J44" s="136" t="s">
        <v>10</v>
      </c>
      <c r="K44" s="39"/>
      <c r="L44" s="39"/>
      <c r="M44" s="39"/>
      <c r="N44" s="39"/>
      <c r="O44" s="58"/>
      <c r="P44" s="4"/>
      <c r="Q44" s="125"/>
      <c r="R44" s="125"/>
      <c r="S44" s="125"/>
      <c r="T44" s="125"/>
      <c r="U44" s="125"/>
      <c r="V44" s="125"/>
      <c r="W44" s="125"/>
      <c r="X44" s="125"/>
      <c r="Y44" s="125"/>
      <c r="Z44" s="125"/>
      <c r="AA44" s="125"/>
      <c r="AB44" s="125"/>
    </row>
    <row r="45" spans="1:28" ht="28.8">
      <c r="A45" s="125"/>
      <c r="B45" s="58" t="s">
        <v>616</v>
      </c>
      <c r="C45" s="175" t="s">
        <v>490</v>
      </c>
      <c r="D45" s="242"/>
      <c r="E45" s="172" t="s">
        <v>617</v>
      </c>
      <c r="F45" s="172" t="s">
        <v>618</v>
      </c>
      <c r="G45" s="58"/>
      <c r="H45" s="136" t="s">
        <v>10</v>
      </c>
      <c r="I45" s="136" t="s">
        <v>10</v>
      </c>
      <c r="J45" s="136" t="s">
        <v>10</v>
      </c>
      <c r="K45" s="39"/>
      <c r="L45" s="39"/>
      <c r="M45" s="39"/>
      <c r="N45" s="39"/>
      <c r="O45" s="58"/>
      <c r="P45" s="4"/>
      <c r="Q45" s="125"/>
      <c r="R45" s="125"/>
      <c r="S45" s="125"/>
      <c r="T45" s="125"/>
      <c r="U45" s="125"/>
      <c r="V45" s="125"/>
      <c r="W45" s="125"/>
      <c r="X45" s="125"/>
      <c r="Y45" s="125"/>
      <c r="Z45" s="125"/>
      <c r="AA45" s="125"/>
      <c r="AB45" s="125"/>
    </row>
    <row r="46" spans="1:28" ht="28.8">
      <c r="A46" s="125"/>
      <c r="B46" s="58" t="s">
        <v>619</v>
      </c>
      <c r="C46" s="175" t="s">
        <v>490</v>
      </c>
      <c r="D46" s="242"/>
      <c r="E46" s="172" t="s">
        <v>620</v>
      </c>
      <c r="F46" s="172" t="s">
        <v>621</v>
      </c>
      <c r="G46" s="58"/>
      <c r="H46" s="136" t="s">
        <v>10</v>
      </c>
      <c r="I46" s="136" t="s">
        <v>10</v>
      </c>
      <c r="J46" s="136" t="s">
        <v>10</v>
      </c>
      <c r="K46" s="39"/>
      <c r="L46" s="39"/>
      <c r="M46" s="39"/>
      <c r="N46" s="39"/>
      <c r="O46" s="58"/>
      <c r="P46" s="4"/>
      <c r="Q46" s="125"/>
      <c r="R46" s="125"/>
      <c r="S46" s="125"/>
      <c r="T46" s="125"/>
      <c r="U46" s="125"/>
      <c r="V46" s="125"/>
      <c r="W46" s="125"/>
      <c r="X46" s="125"/>
      <c r="Y46" s="125"/>
      <c r="Z46" s="125"/>
      <c r="AA46" s="125"/>
      <c r="AB46" s="125"/>
    </row>
    <row r="47" spans="1:28" ht="28.8">
      <c r="A47" s="125"/>
      <c r="B47" s="58" t="s">
        <v>622</v>
      </c>
      <c r="C47" s="175" t="s">
        <v>490</v>
      </c>
      <c r="D47" s="242"/>
      <c r="E47" s="172" t="s">
        <v>623</v>
      </c>
      <c r="F47" s="172" t="s">
        <v>624</v>
      </c>
      <c r="G47" s="58"/>
      <c r="H47" s="136" t="s">
        <v>10</v>
      </c>
      <c r="I47" s="136" t="s">
        <v>10</v>
      </c>
      <c r="J47" s="136" t="s">
        <v>10</v>
      </c>
      <c r="K47" s="39"/>
      <c r="L47" s="39"/>
      <c r="M47" s="39"/>
      <c r="N47" s="39"/>
      <c r="O47" s="58"/>
      <c r="P47" s="4"/>
      <c r="Q47" s="125"/>
      <c r="R47" s="125"/>
      <c r="S47" s="125"/>
      <c r="T47" s="125"/>
      <c r="U47" s="125"/>
      <c r="V47" s="125"/>
      <c r="W47" s="125"/>
      <c r="X47" s="125"/>
      <c r="Y47" s="125"/>
      <c r="Z47" s="125"/>
      <c r="AA47" s="125"/>
      <c r="AB47" s="125"/>
    </row>
    <row r="48" spans="1:28" ht="28.8">
      <c r="A48" s="125"/>
      <c r="B48" s="58" t="s">
        <v>625</v>
      </c>
      <c r="C48" s="175" t="s">
        <v>490</v>
      </c>
      <c r="D48" s="242"/>
      <c r="E48" s="172" t="s">
        <v>626</v>
      </c>
      <c r="F48" s="172" t="s">
        <v>627</v>
      </c>
      <c r="G48" s="58"/>
      <c r="H48" s="136" t="s">
        <v>10</v>
      </c>
      <c r="I48" s="136" t="s">
        <v>10</v>
      </c>
      <c r="J48" s="136" t="s">
        <v>10</v>
      </c>
      <c r="K48" s="39"/>
      <c r="L48" s="39"/>
      <c r="M48" s="39"/>
      <c r="N48" s="39"/>
      <c r="O48" s="58"/>
      <c r="P48" s="4"/>
      <c r="Q48" s="125"/>
      <c r="R48" s="125"/>
      <c r="S48" s="125"/>
      <c r="T48" s="125"/>
      <c r="U48" s="125"/>
      <c r="V48" s="125"/>
      <c r="W48" s="125"/>
      <c r="X48" s="125"/>
      <c r="Y48" s="125"/>
      <c r="Z48" s="125"/>
      <c r="AA48" s="125"/>
      <c r="AB48" s="125"/>
    </row>
    <row r="49" spans="1:28" ht="57.6">
      <c r="A49" s="125"/>
      <c r="B49" s="58" t="s">
        <v>628</v>
      </c>
      <c r="C49" s="175" t="s">
        <v>490</v>
      </c>
      <c r="D49" s="242"/>
      <c r="E49" s="172" t="s">
        <v>629</v>
      </c>
      <c r="F49" s="172" t="s">
        <v>630</v>
      </c>
      <c r="G49" s="58"/>
      <c r="H49" s="136" t="s">
        <v>10</v>
      </c>
      <c r="I49" s="136" t="s">
        <v>10</v>
      </c>
      <c r="J49" s="136" t="s">
        <v>10</v>
      </c>
      <c r="K49" s="39"/>
      <c r="L49" s="39"/>
      <c r="M49" s="39"/>
      <c r="N49" s="39"/>
      <c r="O49" s="58"/>
      <c r="P49" s="4"/>
      <c r="Q49" s="125"/>
      <c r="R49" s="125"/>
      <c r="S49" s="125"/>
      <c r="T49" s="125"/>
      <c r="U49" s="125"/>
      <c r="V49" s="125"/>
      <c r="W49" s="125"/>
      <c r="X49" s="125"/>
      <c r="Y49" s="125"/>
      <c r="Z49" s="125"/>
      <c r="AA49" s="125"/>
      <c r="AB49" s="125"/>
    </row>
    <row r="50" spans="1:28" ht="57.6">
      <c r="A50" s="125"/>
      <c r="B50" s="58"/>
      <c r="C50" s="175"/>
      <c r="D50" s="242"/>
      <c r="E50" s="176" t="s">
        <v>631</v>
      </c>
      <c r="F50" s="176" t="s">
        <v>632</v>
      </c>
      <c r="G50" s="58"/>
      <c r="H50" s="136"/>
      <c r="I50" s="136"/>
      <c r="J50" s="136"/>
      <c r="K50" s="39"/>
      <c r="L50" s="39"/>
      <c r="M50" s="39"/>
      <c r="N50" s="39"/>
      <c r="O50" s="58"/>
      <c r="P50" s="4"/>
      <c r="Q50" s="125"/>
      <c r="R50" s="125"/>
      <c r="S50" s="125"/>
      <c r="T50" s="125"/>
      <c r="U50" s="125"/>
      <c r="V50" s="125"/>
      <c r="W50" s="125"/>
      <c r="X50" s="125"/>
      <c r="Y50" s="125"/>
      <c r="Z50" s="125"/>
      <c r="AA50" s="125"/>
      <c r="AB50" s="125"/>
    </row>
    <row r="51" spans="1:28" ht="28.8">
      <c r="A51" s="125"/>
      <c r="B51" s="58"/>
      <c r="C51" s="175"/>
      <c r="D51" s="242"/>
      <c r="E51" s="174" t="s">
        <v>633</v>
      </c>
      <c r="F51" s="174" t="s">
        <v>634</v>
      </c>
      <c r="G51" s="58"/>
      <c r="H51" s="136"/>
      <c r="I51" s="136"/>
      <c r="J51" s="136"/>
      <c r="K51" s="39"/>
      <c r="L51" s="39"/>
      <c r="M51" s="39"/>
      <c r="N51" s="39"/>
      <c r="O51" s="58"/>
      <c r="P51" s="4"/>
      <c r="Q51" s="125"/>
      <c r="R51" s="125"/>
      <c r="S51" s="125"/>
      <c r="T51" s="125"/>
      <c r="U51" s="125"/>
      <c r="V51" s="125"/>
      <c r="W51" s="125"/>
      <c r="X51" s="125"/>
      <c r="Y51" s="125"/>
      <c r="Z51" s="125"/>
      <c r="AA51" s="125"/>
      <c r="AB51" s="125"/>
    </row>
    <row r="52" spans="1:28" ht="28.8">
      <c r="A52" s="125"/>
      <c r="B52" s="58"/>
      <c r="C52" s="175"/>
      <c r="D52" s="242"/>
      <c r="E52" s="174" t="s">
        <v>635</v>
      </c>
      <c r="F52" s="174" t="s">
        <v>636</v>
      </c>
      <c r="G52" s="58"/>
      <c r="H52" s="136"/>
      <c r="I52" s="136"/>
      <c r="J52" s="136"/>
      <c r="K52" s="39"/>
      <c r="L52" s="39"/>
      <c r="M52" s="39"/>
      <c r="N52" s="39"/>
      <c r="O52" s="58"/>
      <c r="P52" s="4"/>
      <c r="Q52" s="125"/>
      <c r="R52" s="125"/>
      <c r="S52" s="125"/>
      <c r="T52" s="125"/>
      <c r="U52" s="125"/>
      <c r="V52" s="125"/>
      <c r="W52" s="125"/>
      <c r="X52" s="125"/>
      <c r="Y52" s="125"/>
      <c r="Z52" s="125"/>
      <c r="AA52" s="125"/>
      <c r="AB52" s="125"/>
    </row>
    <row r="53" spans="1:28" ht="43.2">
      <c r="A53" s="125"/>
      <c r="B53" s="58"/>
      <c r="C53" s="175"/>
      <c r="D53" s="242"/>
      <c r="E53" s="174" t="s">
        <v>637</v>
      </c>
      <c r="F53" s="174" t="s">
        <v>638</v>
      </c>
      <c r="G53" s="58"/>
      <c r="H53" s="136"/>
      <c r="I53" s="136"/>
      <c r="J53" s="136"/>
      <c r="K53" s="39"/>
      <c r="L53" s="39"/>
      <c r="M53" s="39"/>
      <c r="N53" s="39"/>
      <c r="O53" s="58"/>
      <c r="P53" s="4"/>
      <c r="Q53" s="125"/>
      <c r="R53" s="125"/>
      <c r="S53" s="125"/>
      <c r="T53" s="125"/>
      <c r="U53" s="125"/>
      <c r="V53" s="125"/>
      <c r="W53" s="125"/>
      <c r="X53" s="125"/>
      <c r="Y53" s="125"/>
      <c r="Z53" s="125"/>
      <c r="AA53" s="125"/>
      <c r="AB53" s="125"/>
    </row>
    <row r="54" spans="1:28" ht="14.4">
      <c r="A54" s="125"/>
      <c r="B54" s="58" t="s">
        <v>639</v>
      </c>
      <c r="C54" s="175" t="s">
        <v>490</v>
      </c>
      <c r="D54" s="242"/>
      <c r="E54" s="172" t="s">
        <v>640</v>
      </c>
      <c r="F54" s="172" t="s">
        <v>641</v>
      </c>
      <c r="G54" s="58"/>
      <c r="H54" s="136" t="s">
        <v>10</v>
      </c>
      <c r="I54" s="136" t="s">
        <v>10</v>
      </c>
      <c r="J54" s="136" t="s">
        <v>10</v>
      </c>
      <c r="K54" s="39"/>
      <c r="L54" s="39"/>
      <c r="M54" s="39"/>
      <c r="N54" s="39"/>
      <c r="O54" s="58"/>
      <c r="P54" s="4"/>
      <c r="Q54" s="125"/>
      <c r="R54" s="125"/>
      <c r="S54" s="125"/>
      <c r="T54" s="125"/>
      <c r="U54" s="125"/>
      <c r="V54" s="125"/>
      <c r="W54" s="125"/>
      <c r="X54" s="125"/>
      <c r="Y54" s="125"/>
      <c r="Z54" s="125"/>
      <c r="AA54" s="125"/>
      <c r="AB54" s="125"/>
    </row>
    <row r="55" spans="1:28" ht="14.4">
      <c r="A55" s="125"/>
      <c r="B55" s="58" t="s">
        <v>642</v>
      </c>
      <c r="C55" s="175" t="s">
        <v>490</v>
      </c>
      <c r="D55" s="242"/>
      <c r="E55" s="172" t="s">
        <v>643</v>
      </c>
      <c r="F55" s="172" t="s">
        <v>644</v>
      </c>
      <c r="G55" s="58"/>
      <c r="H55" s="136" t="s">
        <v>10</v>
      </c>
      <c r="I55" s="136" t="s">
        <v>10</v>
      </c>
      <c r="J55" s="136" t="s">
        <v>10</v>
      </c>
      <c r="K55" s="39"/>
      <c r="L55" s="39"/>
      <c r="M55" s="39"/>
      <c r="N55" s="39"/>
      <c r="O55" s="58"/>
      <c r="P55" s="4"/>
      <c r="Q55" s="125"/>
      <c r="R55" s="125"/>
      <c r="S55" s="125"/>
      <c r="T55" s="125"/>
      <c r="U55" s="125"/>
      <c r="V55" s="125"/>
      <c r="W55" s="125"/>
      <c r="X55" s="125"/>
      <c r="Y55" s="125"/>
      <c r="Z55" s="125"/>
      <c r="AA55" s="125"/>
      <c r="AB55" s="125"/>
    </row>
    <row r="56" spans="1:28" ht="14.4">
      <c r="A56" s="125"/>
      <c r="B56" s="58" t="s">
        <v>645</v>
      </c>
      <c r="C56" s="175" t="s">
        <v>490</v>
      </c>
      <c r="D56" s="242"/>
      <c r="E56" s="172" t="s">
        <v>646</v>
      </c>
      <c r="F56" s="172" t="s">
        <v>647</v>
      </c>
      <c r="G56" s="58"/>
      <c r="H56" s="136" t="s">
        <v>10</v>
      </c>
      <c r="I56" s="136" t="s">
        <v>10</v>
      </c>
      <c r="J56" s="136" t="s">
        <v>10</v>
      </c>
      <c r="K56" s="39"/>
      <c r="L56" s="39"/>
      <c r="M56" s="39"/>
      <c r="N56" s="39"/>
      <c r="O56" s="58"/>
      <c r="P56" s="4"/>
      <c r="Q56" s="125"/>
      <c r="R56" s="125"/>
      <c r="S56" s="125"/>
      <c r="T56" s="125"/>
      <c r="U56" s="125"/>
      <c r="V56" s="125"/>
      <c r="W56" s="125"/>
      <c r="X56" s="125"/>
      <c r="Y56" s="125"/>
      <c r="Z56" s="125"/>
      <c r="AA56" s="125"/>
      <c r="AB56" s="125"/>
    </row>
    <row r="57" spans="1:28" ht="28.8">
      <c r="A57" s="125"/>
      <c r="B57" s="58" t="s">
        <v>648</v>
      </c>
      <c r="C57" s="175" t="s">
        <v>490</v>
      </c>
      <c r="D57" s="242"/>
      <c r="E57" s="172" t="s">
        <v>649</v>
      </c>
      <c r="F57" s="172" t="s">
        <v>650</v>
      </c>
      <c r="G57" s="58"/>
      <c r="H57" s="136" t="s">
        <v>10</v>
      </c>
      <c r="I57" s="136" t="s">
        <v>10</v>
      </c>
      <c r="J57" s="136" t="s">
        <v>10</v>
      </c>
      <c r="K57" s="39"/>
      <c r="L57" s="39"/>
      <c r="M57" s="39"/>
      <c r="N57" s="39"/>
      <c r="O57" s="58"/>
      <c r="P57" s="4"/>
      <c r="Q57" s="125"/>
      <c r="R57" s="125"/>
      <c r="S57" s="125"/>
      <c r="T57" s="125"/>
      <c r="U57" s="125"/>
      <c r="V57" s="125"/>
      <c r="W57" s="125"/>
      <c r="X57" s="125"/>
      <c r="Y57" s="125"/>
      <c r="Z57" s="125"/>
      <c r="AA57" s="125"/>
      <c r="AB57" s="125"/>
    </row>
    <row r="58" spans="1:28" ht="28.8">
      <c r="A58" s="125"/>
      <c r="B58" s="58" t="s">
        <v>651</v>
      </c>
      <c r="C58" s="175" t="s">
        <v>490</v>
      </c>
      <c r="D58" s="242"/>
      <c r="E58" s="172" t="s">
        <v>652</v>
      </c>
      <c r="F58" s="172" t="s">
        <v>653</v>
      </c>
      <c r="G58" s="58"/>
      <c r="H58" s="136" t="s">
        <v>10</v>
      </c>
      <c r="I58" s="136" t="s">
        <v>10</v>
      </c>
      <c r="J58" s="136" t="s">
        <v>10</v>
      </c>
      <c r="K58" s="39"/>
      <c r="L58" s="39"/>
      <c r="M58" s="39"/>
      <c r="N58" s="39"/>
      <c r="O58" s="58"/>
      <c r="P58" s="4"/>
      <c r="Q58" s="125"/>
      <c r="R58" s="125"/>
      <c r="S58" s="125"/>
      <c r="T58" s="125"/>
      <c r="U58" s="125"/>
      <c r="V58" s="125"/>
      <c r="W58" s="125"/>
      <c r="X58" s="125"/>
      <c r="Y58" s="125"/>
      <c r="Z58" s="125"/>
      <c r="AA58" s="125"/>
      <c r="AB58" s="125"/>
    </row>
    <row r="59" spans="1:28" ht="57.6">
      <c r="A59" s="125"/>
      <c r="B59" s="58" t="s">
        <v>654</v>
      </c>
      <c r="C59" s="175" t="s">
        <v>490</v>
      </c>
      <c r="D59" s="242"/>
      <c r="E59" s="172" t="s">
        <v>655</v>
      </c>
      <c r="F59" s="172" t="s">
        <v>656</v>
      </c>
      <c r="G59" s="58"/>
      <c r="H59" s="136" t="s">
        <v>10</v>
      </c>
      <c r="I59" s="136" t="s">
        <v>10</v>
      </c>
      <c r="J59" s="136" t="s">
        <v>10</v>
      </c>
      <c r="K59" s="39"/>
      <c r="L59" s="39"/>
      <c r="M59" s="39"/>
      <c r="N59" s="39"/>
      <c r="O59" s="58"/>
      <c r="P59" s="4"/>
      <c r="Q59" s="125"/>
      <c r="R59" s="125"/>
      <c r="S59" s="125"/>
      <c r="T59" s="125"/>
      <c r="U59" s="125"/>
      <c r="V59" s="125"/>
      <c r="W59" s="125"/>
      <c r="X59" s="125"/>
      <c r="Y59" s="125"/>
      <c r="Z59" s="125"/>
      <c r="AA59" s="125"/>
      <c r="AB59" s="125"/>
    </row>
    <row r="60" spans="1:28" ht="43.2">
      <c r="A60" s="125"/>
      <c r="B60" s="58" t="s">
        <v>657</v>
      </c>
      <c r="C60" s="175" t="s">
        <v>490</v>
      </c>
      <c r="D60" s="242"/>
      <c r="E60" s="172" t="s">
        <v>658</v>
      </c>
      <c r="F60" s="172" t="s">
        <v>659</v>
      </c>
      <c r="G60" s="58"/>
      <c r="H60" s="136" t="s">
        <v>10</v>
      </c>
      <c r="I60" s="136" t="s">
        <v>10</v>
      </c>
      <c r="J60" s="136" t="s">
        <v>10</v>
      </c>
      <c r="K60" s="39"/>
      <c r="L60" s="39"/>
      <c r="M60" s="39"/>
      <c r="N60" s="39"/>
      <c r="O60" s="58"/>
      <c r="P60" s="4"/>
      <c r="Q60" s="125"/>
      <c r="R60" s="125"/>
      <c r="S60" s="125"/>
      <c r="T60" s="125"/>
      <c r="U60" s="125"/>
      <c r="V60" s="125"/>
      <c r="W60" s="125"/>
      <c r="X60" s="125"/>
      <c r="Y60" s="125"/>
      <c r="Z60" s="125"/>
      <c r="AA60" s="125"/>
      <c r="AB60" s="125"/>
    </row>
    <row r="61" spans="1:28" ht="28.8">
      <c r="A61" s="125"/>
      <c r="B61" s="58" t="s">
        <v>660</v>
      </c>
      <c r="C61" s="175" t="s">
        <v>490</v>
      </c>
      <c r="D61" s="242"/>
      <c r="E61" s="172" t="s">
        <v>661</v>
      </c>
      <c r="F61" s="172" t="s">
        <v>662</v>
      </c>
      <c r="G61" s="58"/>
      <c r="H61" s="136" t="s">
        <v>10</v>
      </c>
      <c r="I61" s="136" t="s">
        <v>10</v>
      </c>
      <c r="J61" s="136" t="s">
        <v>10</v>
      </c>
      <c r="K61" s="39"/>
      <c r="L61" s="39"/>
      <c r="M61" s="39"/>
      <c r="N61" s="39"/>
      <c r="O61" s="58"/>
      <c r="P61" s="4"/>
      <c r="Q61" s="125"/>
      <c r="R61" s="125"/>
      <c r="S61" s="125"/>
      <c r="T61" s="125"/>
      <c r="U61" s="125"/>
      <c r="V61" s="125"/>
      <c r="W61" s="125"/>
      <c r="X61" s="125"/>
      <c r="Y61" s="125"/>
      <c r="Z61" s="125"/>
      <c r="AA61" s="125"/>
      <c r="AB61" s="125"/>
    </row>
    <row r="62" spans="1:28" ht="28.8">
      <c r="A62" s="125"/>
      <c r="B62" s="58" t="s">
        <v>663</v>
      </c>
      <c r="C62" s="175" t="s">
        <v>490</v>
      </c>
      <c r="D62" s="242"/>
      <c r="E62" s="172" t="s">
        <v>664</v>
      </c>
      <c r="F62" s="172" t="s">
        <v>665</v>
      </c>
      <c r="G62" s="58"/>
      <c r="H62" s="136" t="s">
        <v>10</v>
      </c>
      <c r="I62" s="136" t="s">
        <v>10</v>
      </c>
      <c r="J62" s="136" t="s">
        <v>10</v>
      </c>
      <c r="K62" s="39"/>
      <c r="L62" s="39"/>
      <c r="M62" s="39"/>
      <c r="N62" s="39"/>
      <c r="O62" s="58"/>
      <c r="P62" s="4"/>
      <c r="Q62" s="125"/>
      <c r="R62" s="125"/>
      <c r="S62" s="125"/>
      <c r="T62" s="125"/>
      <c r="U62" s="125"/>
      <c r="V62" s="125"/>
      <c r="W62" s="125"/>
      <c r="X62" s="125"/>
      <c r="Y62" s="125"/>
      <c r="Z62" s="125"/>
      <c r="AA62" s="125"/>
      <c r="AB62" s="125"/>
    </row>
    <row r="63" spans="1:28" ht="28.8">
      <c r="A63" s="125"/>
      <c r="B63" s="58" t="s">
        <v>666</v>
      </c>
      <c r="C63" s="175" t="s">
        <v>490</v>
      </c>
      <c r="D63" s="242"/>
      <c r="E63" s="172" t="s">
        <v>667</v>
      </c>
      <c r="F63" s="172" t="s">
        <v>668</v>
      </c>
      <c r="G63" s="58"/>
      <c r="H63" s="136" t="s">
        <v>10</v>
      </c>
      <c r="I63" s="136" t="s">
        <v>10</v>
      </c>
      <c r="J63" s="136" t="s">
        <v>10</v>
      </c>
      <c r="K63" s="39"/>
      <c r="L63" s="39"/>
      <c r="M63" s="39"/>
      <c r="N63" s="39"/>
      <c r="O63" s="58"/>
      <c r="P63" s="4"/>
      <c r="Q63" s="125"/>
      <c r="R63" s="125"/>
      <c r="S63" s="125"/>
      <c r="T63" s="125"/>
      <c r="U63" s="125"/>
      <c r="V63" s="125"/>
      <c r="W63" s="125"/>
      <c r="X63" s="125"/>
      <c r="Y63" s="125"/>
      <c r="Z63" s="125"/>
      <c r="AA63" s="125"/>
      <c r="AB63" s="125"/>
    </row>
    <row r="64" spans="1:28" ht="28.8">
      <c r="A64" s="125"/>
      <c r="B64" s="58" t="s">
        <v>669</v>
      </c>
      <c r="C64" s="175" t="s">
        <v>490</v>
      </c>
      <c r="D64" s="242"/>
      <c r="E64" s="172" t="s">
        <v>670</v>
      </c>
      <c r="F64" s="172" t="s">
        <v>671</v>
      </c>
      <c r="G64" s="58"/>
      <c r="H64" s="136" t="s">
        <v>10</v>
      </c>
      <c r="I64" s="136" t="s">
        <v>10</v>
      </c>
      <c r="J64" s="136" t="s">
        <v>10</v>
      </c>
      <c r="K64" s="39"/>
      <c r="L64" s="39"/>
      <c r="M64" s="39"/>
      <c r="N64" s="39"/>
      <c r="O64" s="58"/>
      <c r="P64" s="4"/>
      <c r="Q64" s="125"/>
      <c r="R64" s="125"/>
      <c r="S64" s="125"/>
      <c r="T64" s="125"/>
      <c r="U64" s="125"/>
      <c r="V64" s="125"/>
      <c r="W64" s="125"/>
      <c r="X64" s="125"/>
      <c r="Y64" s="125"/>
      <c r="Z64" s="125"/>
      <c r="AA64" s="125"/>
      <c r="AB64" s="125"/>
    </row>
    <row r="65" spans="1:28" ht="57.6">
      <c r="A65" s="125"/>
      <c r="B65" s="58" t="s">
        <v>672</v>
      </c>
      <c r="C65" s="175" t="s">
        <v>490</v>
      </c>
      <c r="D65" s="243"/>
      <c r="E65" s="172" t="s">
        <v>673</v>
      </c>
      <c r="F65" s="172" t="s">
        <v>674</v>
      </c>
      <c r="G65" s="58"/>
      <c r="H65" s="136" t="s">
        <v>10</v>
      </c>
      <c r="I65" s="136" t="s">
        <v>10</v>
      </c>
      <c r="J65" s="136" t="s">
        <v>10</v>
      </c>
      <c r="K65" s="39"/>
      <c r="L65" s="39"/>
      <c r="M65" s="39"/>
      <c r="N65" s="39"/>
      <c r="O65" s="58"/>
      <c r="P65" s="4"/>
      <c r="Q65" s="125"/>
      <c r="R65" s="125"/>
      <c r="S65" s="125"/>
      <c r="T65" s="125"/>
      <c r="U65" s="125"/>
      <c r="V65" s="125"/>
      <c r="W65" s="125"/>
      <c r="X65" s="125"/>
      <c r="Y65" s="125"/>
      <c r="Z65" s="125"/>
      <c r="AA65" s="125"/>
      <c r="AB65" s="125"/>
    </row>
    <row r="66" spans="1:28" ht="28.8">
      <c r="A66" s="125"/>
      <c r="B66" s="58" t="s">
        <v>675</v>
      </c>
      <c r="C66" s="175" t="s">
        <v>490</v>
      </c>
      <c r="D66" s="241" t="s">
        <v>676</v>
      </c>
      <c r="E66" s="172" t="s">
        <v>677</v>
      </c>
      <c r="F66" s="172" t="s">
        <v>678</v>
      </c>
      <c r="G66" s="58"/>
      <c r="H66" s="136" t="s">
        <v>10</v>
      </c>
      <c r="I66" s="136" t="s">
        <v>10</v>
      </c>
      <c r="J66" s="136" t="s">
        <v>10</v>
      </c>
      <c r="K66" s="39"/>
      <c r="L66" s="39"/>
      <c r="M66" s="39"/>
      <c r="N66" s="39"/>
      <c r="O66" s="58"/>
      <c r="P66" s="4"/>
      <c r="Q66" s="125"/>
      <c r="R66" s="125"/>
      <c r="S66" s="125"/>
      <c r="T66" s="125"/>
      <c r="U66" s="125"/>
      <c r="V66" s="125"/>
      <c r="W66" s="125"/>
      <c r="X66" s="125"/>
      <c r="Y66" s="125"/>
      <c r="Z66" s="125"/>
      <c r="AA66" s="125"/>
      <c r="AB66" s="125"/>
    </row>
    <row r="67" spans="1:28" ht="57.6">
      <c r="A67" s="125"/>
      <c r="B67" s="58" t="s">
        <v>679</v>
      </c>
      <c r="C67" s="175" t="s">
        <v>490</v>
      </c>
      <c r="D67" s="242"/>
      <c r="E67" s="172" t="s">
        <v>680</v>
      </c>
      <c r="F67" s="172" t="s">
        <v>681</v>
      </c>
      <c r="G67" s="58"/>
      <c r="H67" s="136" t="s">
        <v>10</v>
      </c>
      <c r="I67" s="136" t="s">
        <v>10</v>
      </c>
      <c r="J67" s="136" t="s">
        <v>10</v>
      </c>
      <c r="K67" s="39"/>
      <c r="L67" s="39"/>
      <c r="M67" s="39"/>
      <c r="N67" s="39"/>
      <c r="O67" s="58"/>
      <c r="P67" s="4"/>
      <c r="Q67" s="125"/>
      <c r="R67" s="125"/>
      <c r="S67" s="125"/>
      <c r="T67" s="125"/>
      <c r="U67" s="125"/>
      <c r="V67" s="125"/>
      <c r="W67" s="125"/>
      <c r="X67" s="125"/>
      <c r="Y67" s="125"/>
      <c r="Z67" s="125"/>
      <c r="AA67" s="125"/>
      <c r="AB67" s="125"/>
    </row>
    <row r="68" spans="1:28" ht="72">
      <c r="A68" s="125"/>
      <c r="B68" s="58" t="s">
        <v>682</v>
      </c>
      <c r="C68" s="175" t="s">
        <v>490</v>
      </c>
      <c r="D68" s="243"/>
      <c r="E68" s="172" t="s">
        <v>683</v>
      </c>
      <c r="F68" s="172" t="s">
        <v>684</v>
      </c>
      <c r="G68" s="58"/>
      <c r="H68" s="136" t="s">
        <v>10</v>
      </c>
      <c r="I68" s="136" t="s">
        <v>10</v>
      </c>
      <c r="J68" s="136" t="s">
        <v>10</v>
      </c>
      <c r="K68" s="39"/>
      <c r="L68" s="39"/>
      <c r="M68" s="39"/>
      <c r="N68" s="39"/>
      <c r="O68" s="58"/>
      <c r="P68" s="4"/>
      <c r="Q68" s="125"/>
      <c r="R68" s="125"/>
      <c r="S68" s="125"/>
      <c r="T68" s="125"/>
      <c r="U68" s="125"/>
      <c r="V68" s="125"/>
      <c r="W68" s="125"/>
      <c r="X68" s="125"/>
      <c r="Y68" s="125"/>
      <c r="Z68" s="125"/>
      <c r="AA68" s="125"/>
      <c r="AB68" s="125"/>
    </row>
    <row r="69" spans="1:28" ht="14.4">
      <c r="A69" s="125"/>
      <c r="B69" s="58"/>
      <c r="C69" s="136"/>
      <c r="D69" s="177"/>
      <c r="E69" s="178"/>
      <c r="F69" s="178"/>
      <c r="G69" s="58"/>
      <c r="H69" s="136"/>
      <c r="I69" s="136"/>
      <c r="J69" s="136"/>
      <c r="K69" s="39"/>
      <c r="L69" s="39"/>
      <c r="M69" s="39"/>
      <c r="N69" s="39"/>
      <c r="O69" s="58"/>
      <c r="P69" s="4"/>
      <c r="Q69" s="125"/>
      <c r="R69" s="125"/>
      <c r="S69" s="125"/>
      <c r="T69" s="125"/>
      <c r="U69" s="125"/>
      <c r="V69" s="125"/>
      <c r="W69" s="125"/>
      <c r="X69" s="125"/>
      <c r="Y69" s="125"/>
      <c r="Z69" s="125"/>
      <c r="AA69" s="125"/>
      <c r="AB69" s="125"/>
    </row>
    <row r="70" spans="1:28" ht="82.8">
      <c r="A70" s="125"/>
      <c r="B70" s="58" t="s">
        <v>685</v>
      </c>
      <c r="C70" s="117" t="s">
        <v>686</v>
      </c>
      <c r="D70" s="119" t="s">
        <v>687</v>
      </c>
      <c r="E70" s="150" t="s">
        <v>688</v>
      </c>
      <c r="F70" s="150" t="s">
        <v>689</v>
      </c>
      <c r="G70" s="58"/>
      <c r="H70" s="136" t="s">
        <v>10</v>
      </c>
      <c r="I70" s="136" t="s">
        <v>10</v>
      </c>
      <c r="J70" s="136" t="s">
        <v>10</v>
      </c>
      <c r="K70" s="39"/>
      <c r="L70" s="39"/>
      <c r="M70" s="39"/>
      <c r="N70" s="39"/>
      <c r="O70" s="58"/>
      <c r="P70" s="4"/>
      <c r="Q70" s="125"/>
      <c r="R70" s="125"/>
      <c r="S70" s="125"/>
      <c r="T70" s="125"/>
      <c r="U70" s="125"/>
      <c r="V70" s="125"/>
      <c r="W70" s="125"/>
      <c r="X70" s="125"/>
      <c r="Y70" s="125"/>
      <c r="Z70" s="125"/>
      <c r="AA70" s="125"/>
      <c r="AB70" s="125"/>
    </row>
    <row r="71" spans="1:28" ht="28.8">
      <c r="A71" s="125"/>
      <c r="B71" s="87"/>
      <c r="C71" s="117"/>
      <c r="D71" s="86" t="s">
        <v>690</v>
      </c>
      <c r="E71" s="179" t="s">
        <v>691</v>
      </c>
      <c r="F71" s="180" t="s">
        <v>692</v>
      </c>
      <c r="G71" s="181"/>
      <c r="H71" s="136"/>
      <c r="I71" s="136"/>
      <c r="J71" s="136"/>
      <c r="K71" s="39"/>
      <c r="L71" s="39"/>
      <c r="M71" s="39"/>
      <c r="N71" s="39"/>
      <c r="O71" s="58"/>
      <c r="P71" s="4"/>
      <c r="Q71" s="125"/>
      <c r="R71" s="125"/>
      <c r="S71" s="125"/>
      <c r="T71" s="125"/>
      <c r="U71" s="125"/>
      <c r="V71" s="125"/>
      <c r="W71" s="125"/>
      <c r="X71" s="125"/>
      <c r="Y71" s="125"/>
      <c r="Z71" s="125"/>
      <c r="AA71" s="125"/>
      <c r="AB71" s="125"/>
    </row>
    <row r="72" spans="1:28" ht="43.2">
      <c r="A72" s="125"/>
      <c r="B72" s="87" t="s">
        <v>693</v>
      </c>
      <c r="C72" s="117" t="s">
        <v>694</v>
      </c>
      <c r="D72" s="13" t="s">
        <v>695</v>
      </c>
      <c r="E72" s="182" t="s">
        <v>696</v>
      </c>
      <c r="F72" s="183" t="s">
        <v>697</v>
      </c>
      <c r="G72" s="181"/>
      <c r="H72" s="136" t="s">
        <v>10</v>
      </c>
      <c r="I72" s="136" t="s">
        <v>10</v>
      </c>
      <c r="J72" s="136" t="s">
        <v>10</v>
      </c>
      <c r="K72" s="39"/>
      <c r="L72" s="39"/>
      <c r="M72" s="39"/>
      <c r="N72" s="39"/>
      <c r="O72" s="58"/>
      <c r="P72" s="4"/>
      <c r="Q72" s="125"/>
      <c r="R72" s="125"/>
      <c r="S72" s="125"/>
      <c r="T72" s="125"/>
      <c r="U72" s="125"/>
      <c r="V72" s="125"/>
      <c r="W72" s="125"/>
      <c r="X72" s="125"/>
      <c r="Y72" s="125"/>
      <c r="Z72" s="125"/>
      <c r="AA72" s="125"/>
      <c r="AB72" s="125"/>
    </row>
    <row r="73" spans="1:28" ht="43.2">
      <c r="A73" s="125"/>
      <c r="B73" s="87" t="s">
        <v>698</v>
      </c>
      <c r="C73" s="117" t="s">
        <v>694</v>
      </c>
      <c r="D73" s="13" t="s">
        <v>699</v>
      </c>
      <c r="E73" s="182" t="s">
        <v>700</v>
      </c>
      <c r="F73" s="183" t="s">
        <v>697</v>
      </c>
      <c r="G73" s="181" t="s">
        <v>146</v>
      </c>
      <c r="H73" s="136" t="s">
        <v>10</v>
      </c>
      <c r="I73" s="136" t="s">
        <v>10</v>
      </c>
      <c r="J73" s="136" t="s">
        <v>10</v>
      </c>
      <c r="K73" s="39"/>
      <c r="L73" s="39"/>
      <c r="M73" s="39"/>
      <c r="N73" s="39"/>
      <c r="O73" s="58"/>
      <c r="P73" s="4"/>
      <c r="Q73" s="125"/>
      <c r="R73" s="125"/>
      <c r="S73" s="125"/>
      <c r="T73" s="125"/>
      <c r="U73" s="125"/>
      <c r="V73" s="125"/>
      <c r="W73" s="125"/>
      <c r="X73" s="125"/>
      <c r="Y73" s="125"/>
      <c r="Z73" s="125"/>
      <c r="AA73" s="125"/>
      <c r="AB73" s="125"/>
    </row>
    <row r="74" spans="1:28" ht="43.2">
      <c r="A74" s="125"/>
      <c r="B74" s="87" t="s">
        <v>701</v>
      </c>
      <c r="C74" s="117" t="s">
        <v>694</v>
      </c>
      <c r="D74" s="13" t="s">
        <v>702</v>
      </c>
      <c r="E74" s="182" t="s">
        <v>703</v>
      </c>
      <c r="F74" s="183" t="s">
        <v>697</v>
      </c>
      <c r="G74" s="181" t="s">
        <v>146</v>
      </c>
      <c r="H74" s="136" t="s">
        <v>10</v>
      </c>
      <c r="I74" s="136" t="s">
        <v>10</v>
      </c>
      <c r="J74" s="136" t="s">
        <v>10</v>
      </c>
      <c r="K74" s="39"/>
      <c r="L74" s="39"/>
      <c r="M74" s="39"/>
      <c r="N74" s="39"/>
      <c r="O74" s="58"/>
      <c r="P74" s="4"/>
      <c r="Q74" s="125"/>
      <c r="R74" s="125"/>
      <c r="S74" s="125"/>
      <c r="T74" s="125"/>
      <c r="U74" s="125"/>
      <c r="V74" s="125"/>
      <c r="W74" s="125"/>
      <c r="X74" s="125"/>
      <c r="Y74" s="125"/>
      <c r="Z74" s="125"/>
      <c r="AA74" s="125"/>
      <c r="AB74" s="125"/>
    </row>
    <row r="75" spans="1:28" ht="43.2">
      <c r="A75" s="125"/>
      <c r="B75" s="87" t="s">
        <v>704</v>
      </c>
      <c r="C75" s="117" t="s">
        <v>694</v>
      </c>
      <c r="D75" s="13" t="s">
        <v>705</v>
      </c>
      <c r="E75" s="182" t="s">
        <v>706</v>
      </c>
      <c r="F75" s="183" t="s">
        <v>697</v>
      </c>
      <c r="G75" s="181" t="s">
        <v>146</v>
      </c>
      <c r="H75" s="136" t="s">
        <v>10</v>
      </c>
      <c r="I75" s="136" t="s">
        <v>10</v>
      </c>
      <c r="J75" s="136" t="s">
        <v>10</v>
      </c>
      <c r="K75" s="39"/>
      <c r="L75" s="39"/>
      <c r="M75" s="39"/>
      <c r="N75" s="39"/>
      <c r="O75" s="58"/>
      <c r="P75" s="4"/>
      <c r="Q75" s="125"/>
      <c r="R75" s="125"/>
      <c r="S75" s="125"/>
      <c r="T75" s="125"/>
      <c r="U75" s="125"/>
      <c r="V75" s="125"/>
      <c r="W75" s="125"/>
      <c r="X75" s="125"/>
      <c r="Y75" s="125"/>
      <c r="Z75" s="125"/>
      <c r="AA75" s="125"/>
      <c r="AB75" s="125"/>
    </row>
    <row r="76" spans="1:28" ht="43.2">
      <c r="A76" s="125"/>
      <c r="B76" s="87" t="s">
        <v>707</v>
      </c>
      <c r="C76" s="117" t="s">
        <v>694</v>
      </c>
      <c r="D76" s="13" t="s">
        <v>708</v>
      </c>
      <c r="E76" s="182" t="s">
        <v>709</v>
      </c>
      <c r="F76" s="183" t="s">
        <v>697</v>
      </c>
      <c r="G76" s="181" t="s">
        <v>146</v>
      </c>
      <c r="H76" s="136" t="s">
        <v>10</v>
      </c>
      <c r="I76" s="136" t="s">
        <v>10</v>
      </c>
      <c r="J76" s="136" t="s">
        <v>10</v>
      </c>
      <c r="K76" s="39"/>
      <c r="L76" s="39"/>
      <c r="M76" s="39"/>
      <c r="N76" s="39"/>
      <c r="O76" s="58"/>
      <c r="P76" s="4"/>
      <c r="Q76" s="125"/>
      <c r="R76" s="125"/>
      <c r="S76" s="125"/>
      <c r="T76" s="125"/>
      <c r="U76" s="125"/>
      <c r="V76" s="125"/>
      <c r="W76" s="125"/>
      <c r="X76" s="125"/>
      <c r="Y76" s="125"/>
      <c r="Z76" s="125"/>
      <c r="AA76" s="125"/>
      <c r="AB76" s="125"/>
    </row>
    <row r="77" spans="1:28" ht="43.2">
      <c r="A77" s="125"/>
      <c r="B77" s="87" t="s">
        <v>710</v>
      </c>
      <c r="C77" s="117" t="s">
        <v>694</v>
      </c>
      <c r="D77" s="13" t="s">
        <v>711</v>
      </c>
      <c r="E77" s="182" t="s">
        <v>712</v>
      </c>
      <c r="F77" s="183" t="s">
        <v>697</v>
      </c>
      <c r="G77" s="181" t="s">
        <v>146</v>
      </c>
      <c r="H77" s="136" t="s">
        <v>10</v>
      </c>
      <c r="I77" s="136" t="s">
        <v>10</v>
      </c>
      <c r="J77" s="136" t="s">
        <v>10</v>
      </c>
      <c r="K77" s="39"/>
      <c r="L77" s="39"/>
      <c r="M77" s="39"/>
      <c r="N77" s="39"/>
      <c r="O77" s="58"/>
      <c r="P77" s="4"/>
      <c r="Q77" s="125"/>
      <c r="R77" s="125"/>
      <c r="S77" s="125"/>
      <c r="T77" s="125"/>
      <c r="U77" s="125"/>
      <c r="V77" s="125"/>
      <c r="W77" s="125"/>
      <c r="X77" s="125"/>
      <c r="Y77" s="125"/>
      <c r="Z77" s="125"/>
      <c r="AA77" s="125"/>
      <c r="AB77" s="125"/>
    </row>
    <row r="78" spans="1:28" ht="72">
      <c r="A78" s="125"/>
      <c r="B78" s="87" t="s">
        <v>713</v>
      </c>
      <c r="C78" s="117" t="s">
        <v>694</v>
      </c>
      <c r="D78" s="13" t="s">
        <v>714</v>
      </c>
      <c r="E78" s="180" t="s">
        <v>715</v>
      </c>
      <c r="F78" s="180" t="s">
        <v>716</v>
      </c>
      <c r="G78" s="181" t="s">
        <v>146</v>
      </c>
      <c r="H78" s="136" t="s">
        <v>10</v>
      </c>
      <c r="I78" s="136" t="s">
        <v>10</v>
      </c>
      <c r="J78" s="136" t="s">
        <v>10</v>
      </c>
      <c r="K78" s="39"/>
      <c r="L78" s="39"/>
      <c r="M78" s="39"/>
      <c r="N78" s="39"/>
      <c r="O78" s="58"/>
      <c r="P78" s="4"/>
      <c r="Q78" s="125"/>
      <c r="R78" s="125"/>
      <c r="S78" s="125"/>
      <c r="T78" s="125"/>
      <c r="U78" s="125"/>
      <c r="V78" s="125"/>
      <c r="W78" s="125"/>
      <c r="X78" s="125"/>
      <c r="Y78" s="125"/>
      <c r="Z78" s="125"/>
      <c r="AA78" s="125"/>
      <c r="AB78" s="125"/>
    </row>
    <row r="79" spans="1:28" ht="14.4">
      <c r="A79" s="125"/>
      <c r="B79" s="87" t="s">
        <v>717</v>
      </c>
      <c r="C79" s="117" t="s">
        <v>694</v>
      </c>
      <c r="D79" s="13" t="s">
        <v>714</v>
      </c>
      <c r="E79" s="182" t="s">
        <v>718</v>
      </c>
      <c r="F79" s="182" t="s">
        <v>719</v>
      </c>
      <c r="G79" s="184" t="s">
        <v>62</v>
      </c>
      <c r="H79" s="136" t="s">
        <v>10</v>
      </c>
      <c r="I79" s="136" t="s">
        <v>10</v>
      </c>
      <c r="J79" s="136" t="s">
        <v>10</v>
      </c>
      <c r="K79" s="39"/>
      <c r="L79" s="39"/>
      <c r="M79" s="39"/>
      <c r="N79" s="39"/>
      <c r="O79" s="58"/>
      <c r="P79" s="4"/>
      <c r="Q79" s="125"/>
      <c r="R79" s="125"/>
      <c r="S79" s="125"/>
      <c r="T79" s="125"/>
      <c r="U79" s="125"/>
      <c r="V79" s="125"/>
      <c r="W79" s="125"/>
      <c r="X79" s="125"/>
      <c r="Y79" s="125"/>
      <c r="Z79" s="125"/>
      <c r="AA79" s="125"/>
      <c r="AB79" s="125"/>
    </row>
    <row r="80" spans="1:28" ht="72">
      <c r="A80" s="125"/>
      <c r="B80" s="87" t="s">
        <v>720</v>
      </c>
      <c r="C80" s="117" t="s">
        <v>694</v>
      </c>
      <c r="D80" s="13" t="s">
        <v>721</v>
      </c>
      <c r="E80" s="182" t="s">
        <v>722</v>
      </c>
      <c r="F80" s="182" t="s">
        <v>723</v>
      </c>
      <c r="G80" s="184" t="s">
        <v>146</v>
      </c>
      <c r="H80" s="136" t="s">
        <v>10</v>
      </c>
      <c r="I80" s="136" t="s">
        <v>10</v>
      </c>
      <c r="J80" s="136" t="s">
        <v>10</v>
      </c>
      <c r="K80" s="39"/>
      <c r="L80" s="39"/>
      <c r="M80" s="39"/>
      <c r="N80" s="39"/>
      <c r="O80" s="58"/>
      <c r="P80" s="4"/>
      <c r="Q80" s="125"/>
      <c r="R80" s="125"/>
      <c r="S80" s="125"/>
      <c r="T80" s="125"/>
      <c r="U80" s="125"/>
      <c r="V80" s="125"/>
      <c r="W80" s="125"/>
      <c r="X80" s="125"/>
      <c r="Y80" s="125"/>
      <c r="Z80" s="125"/>
      <c r="AA80" s="125"/>
      <c r="AB80" s="125"/>
    </row>
    <row r="81" spans="1:28" ht="43.2">
      <c r="A81" s="125"/>
      <c r="B81" s="87" t="s">
        <v>724</v>
      </c>
      <c r="C81" s="117" t="s">
        <v>694</v>
      </c>
      <c r="D81" s="13" t="s">
        <v>725</v>
      </c>
      <c r="E81" s="182" t="s">
        <v>726</v>
      </c>
      <c r="F81" s="182" t="s">
        <v>727</v>
      </c>
      <c r="G81" s="184" t="s">
        <v>157</v>
      </c>
      <c r="H81" s="136" t="s">
        <v>10</v>
      </c>
      <c r="I81" s="136" t="s">
        <v>10</v>
      </c>
      <c r="J81" s="136" t="s">
        <v>10</v>
      </c>
      <c r="K81" s="39"/>
      <c r="L81" s="39"/>
      <c r="M81" s="39"/>
      <c r="N81" s="39"/>
      <c r="O81" s="58"/>
      <c r="P81" s="4"/>
      <c r="Q81" s="125"/>
      <c r="R81" s="125"/>
      <c r="S81" s="125"/>
      <c r="T81" s="125"/>
      <c r="U81" s="125"/>
      <c r="V81" s="125"/>
      <c r="W81" s="125"/>
      <c r="X81" s="125"/>
      <c r="Y81" s="125"/>
      <c r="Z81" s="125"/>
      <c r="AA81" s="125"/>
      <c r="AB81" s="125"/>
    </row>
    <row r="82" spans="1:28" ht="57.6">
      <c r="A82" s="125"/>
      <c r="B82" s="87" t="s">
        <v>728</v>
      </c>
      <c r="C82" s="117" t="s">
        <v>694</v>
      </c>
      <c r="D82" s="185" t="s">
        <v>729</v>
      </c>
      <c r="E82" s="186" t="s">
        <v>730</v>
      </c>
      <c r="F82" s="186" t="s">
        <v>731</v>
      </c>
      <c r="G82" s="184" t="s">
        <v>146</v>
      </c>
      <c r="H82" s="136" t="s">
        <v>10</v>
      </c>
      <c r="I82" s="136" t="s">
        <v>10</v>
      </c>
      <c r="J82" s="136" t="s">
        <v>10</v>
      </c>
      <c r="K82" s="39"/>
      <c r="L82" s="39"/>
      <c r="M82" s="39"/>
      <c r="N82" s="39"/>
      <c r="O82" s="58"/>
      <c r="P82" s="4"/>
      <c r="Q82" s="125"/>
      <c r="R82" s="125"/>
      <c r="S82" s="125"/>
      <c r="T82" s="125"/>
      <c r="U82" s="125"/>
      <c r="V82" s="125"/>
      <c r="W82" s="125"/>
      <c r="X82" s="125"/>
      <c r="Y82" s="125"/>
      <c r="Z82" s="125"/>
      <c r="AA82" s="125"/>
      <c r="AB82" s="125"/>
    </row>
    <row r="83" spans="1:28" ht="57.6">
      <c r="A83" s="125"/>
      <c r="B83" s="87" t="s">
        <v>732</v>
      </c>
      <c r="C83" s="117" t="s">
        <v>694</v>
      </c>
      <c r="D83" s="185" t="s">
        <v>733</v>
      </c>
      <c r="E83" s="186" t="s">
        <v>734</v>
      </c>
      <c r="F83" s="186" t="s">
        <v>735</v>
      </c>
      <c r="G83" s="184" t="s">
        <v>146</v>
      </c>
      <c r="H83" s="136" t="s">
        <v>10</v>
      </c>
      <c r="I83" s="136" t="s">
        <v>10</v>
      </c>
      <c r="J83" s="136" t="s">
        <v>10</v>
      </c>
      <c r="K83" s="39"/>
      <c r="L83" s="39"/>
      <c r="M83" s="39"/>
      <c r="N83" s="39"/>
      <c r="O83" s="58"/>
      <c r="P83" s="4"/>
      <c r="Q83" s="125"/>
      <c r="R83" s="125"/>
      <c r="S83" s="125"/>
      <c r="T83" s="125"/>
      <c r="U83" s="125"/>
      <c r="V83" s="125"/>
      <c r="W83" s="125"/>
      <c r="X83" s="125"/>
      <c r="Y83" s="125"/>
      <c r="Z83" s="125"/>
      <c r="AA83" s="125"/>
      <c r="AB83" s="125"/>
    </row>
    <row r="84" spans="1:28" ht="86.4">
      <c r="A84" s="125"/>
      <c r="B84" s="87" t="s">
        <v>736</v>
      </c>
      <c r="C84" s="117" t="s">
        <v>694</v>
      </c>
      <c r="D84" s="185" t="s">
        <v>737</v>
      </c>
      <c r="E84" s="186" t="s">
        <v>738</v>
      </c>
      <c r="F84" s="186" t="s">
        <v>739</v>
      </c>
      <c r="G84" s="184" t="s">
        <v>151</v>
      </c>
      <c r="H84" s="136" t="s">
        <v>10</v>
      </c>
      <c r="I84" s="136" t="s">
        <v>10</v>
      </c>
      <c r="J84" s="136" t="s">
        <v>10</v>
      </c>
      <c r="K84" s="39"/>
      <c r="L84" s="39"/>
      <c r="M84" s="39"/>
      <c r="N84" s="39"/>
      <c r="O84" s="58"/>
      <c r="P84" s="4"/>
      <c r="Q84" s="125"/>
      <c r="R84" s="125"/>
      <c r="S84" s="125"/>
      <c r="T84" s="125"/>
      <c r="U84" s="125"/>
      <c r="V84" s="125"/>
      <c r="W84" s="125"/>
      <c r="X84" s="125"/>
      <c r="Y84" s="125"/>
      <c r="Z84" s="125"/>
      <c r="AA84" s="125"/>
      <c r="AB84" s="125"/>
    </row>
    <row r="85" spans="1:28" ht="72">
      <c r="A85" s="125"/>
      <c r="B85" s="87" t="s">
        <v>740</v>
      </c>
      <c r="C85" s="117" t="s">
        <v>694</v>
      </c>
      <c r="D85" s="185" t="s">
        <v>741</v>
      </c>
      <c r="E85" s="186" t="s">
        <v>742</v>
      </c>
      <c r="F85" s="186" t="s">
        <v>743</v>
      </c>
      <c r="G85" s="184" t="s">
        <v>146</v>
      </c>
      <c r="H85" s="136" t="s">
        <v>10</v>
      </c>
      <c r="I85" s="136" t="s">
        <v>10</v>
      </c>
      <c r="J85" s="136" t="s">
        <v>10</v>
      </c>
      <c r="K85" s="39"/>
      <c r="L85" s="39"/>
      <c r="M85" s="39"/>
      <c r="N85" s="39"/>
      <c r="O85" s="58"/>
      <c r="P85" s="4"/>
      <c r="Q85" s="125"/>
      <c r="R85" s="125"/>
      <c r="S85" s="125"/>
      <c r="T85" s="125"/>
      <c r="U85" s="125"/>
      <c r="V85" s="125"/>
      <c r="W85" s="125"/>
      <c r="X85" s="125"/>
      <c r="Y85" s="125"/>
      <c r="Z85" s="125"/>
      <c r="AA85" s="125"/>
      <c r="AB85" s="125"/>
    </row>
    <row r="86" spans="1:28" ht="28.8">
      <c r="A86" s="125"/>
      <c r="B86" s="87" t="s">
        <v>744</v>
      </c>
      <c r="C86" s="117" t="s">
        <v>694</v>
      </c>
      <c r="D86" s="185" t="s">
        <v>745</v>
      </c>
      <c r="E86" s="186" t="s">
        <v>746</v>
      </c>
      <c r="F86" s="186" t="s">
        <v>747</v>
      </c>
      <c r="G86" s="184" t="s">
        <v>146</v>
      </c>
      <c r="H86" s="136" t="s">
        <v>10</v>
      </c>
      <c r="I86" s="136" t="s">
        <v>10</v>
      </c>
      <c r="J86" s="136" t="s">
        <v>10</v>
      </c>
      <c r="K86" s="39"/>
      <c r="L86" s="39"/>
      <c r="M86" s="39"/>
      <c r="N86" s="39"/>
      <c r="O86" s="58"/>
      <c r="P86" s="4"/>
      <c r="Q86" s="125"/>
      <c r="R86" s="125"/>
      <c r="S86" s="125"/>
      <c r="T86" s="125"/>
      <c r="U86" s="125"/>
      <c r="V86" s="125"/>
      <c r="W86" s="125"/>
      <c r="X86" s="125"/>
      <c r="Y86" s="125"/>
      <c r="Z86" s="125"/>
      <c r="AA86" s="125"/>
      <c r="AB86" s="125"/>
    </row>
    <row r="87" spans="1:28" ht="28.8">
      <c r="A87" s="125"/>
      <c r="B87" s="87" t="s">
        <v>748</v>
      </c>
      <c r="C87" s="117" t="s">
        <v>694</v>
      </c>
      <c r="D87" s="185" t="s">
        <v>749</v>
      </c>
      <c r="E87" s="186" t="s">
        <v>750</v>
      </c>
      <c r="F87" s="186" t="s">
        <v>751</v>
      </c>
      <c r="G87" s="184" t="s">
        <v>157</v>
      </c>
      <c r="H87" s="136" t="s">
        <v>10</v>
      </c>
      <c r="I87" s="136" t="s">
        <v>10</v>
      </c>
      <c r="J87" s="136" t="s">
        <v>10</v>
      </c>
      <c r="K87" s="39"/>
      <c r="L87" s="39"/>
      <c r="M87" s="39"/>
      <c r="N87" s="39"/>
      <c r="O87" s="58"/>
      <c r="P87" s="4"/>
      <c r="Q87" s="125"/>
      <c r="R87" s="125"/>
      <c r="S87" s="125"/>
      <c r="T87" s="125"/>
      <c r="U87" s="125"/>
      <c r="V87" s="125"/>
      <c r="W87" s="125"/>
      <c r="X87" s="125"/>
      <c r="Y87" s="125"/>
      <c r="Z87" s="125"/>
      <c r="AA87" s="125"/>
      <c r="AB87" s="125"/>
    </row>
    <row r="88" spans="1:28" ht="43.2">
      <c r="A88" s="125"/>
      <c r="B88" s="87" t="s">
        <v>752</v>
      </c>
      <c r="C88" s="117" t="s">
        <v>694</v>
      </c>
      <c r="D88" s="187" t="s">
        <v>753</v>
      </c>
      <c r="E88" s="183" t="s">
        <v>754</v>
      </c>
      <c r="F88" s="183" t="s">
        <v>755</v>
      </c>
      <c r="G88" s="181" t="s">
        <v>157</v>
      </c>
      <c r="H88" s="136" t="s">
        <v>10</v>
      </c>
      <c r="I88" s="136" t="s">
        <v>10</v>
      </c>
      <c r="J88" s="136" t="s">
        <v>10</v>
      </c>
      <c r="K88" s="39"/>
      <c r="L88" s="39"/>
      <c r="M88" s="39"/>
      <c r="N88" s="39"/>
      <c r="O88" s="58"/>
      <c r="P88" s="4"/>
      <c r="Q88" s="125"/>
      <c r="R88" s="125"/>
      <c r="S88" s="125"/>
      <c r="T88" s="125"/>
      <c r="U88" s="125"/>
      <c r="V88" s="125"/>
      <c r="W88" s="125"/>
      <c r="X88" s="125"/>
      <c r="Y88" s="125"/>
      <c r="Z88" s="125"/>
      <c r="AA88" s="125"/>
      <c r="AB88" s="125"/>
    </row>
    <row r="89" spans="1:28" ht="14.4">
      <c r="A89" s="125"/>
      <c r="B89" s="109"/>
      <c r="C89" s="136"/>
      <c r="D89" s="119"/>
      <c r="E89" s="188"/>
      <c r="F89" s="188"/>
      <c r="G89" s="109"/>
      <c r="H89" s="136"/>
      <c r="I89" s="136"/>
      <c r="J89" s="136"/>
      <c r="K89" s="39"/>
      <c r="L89" s="39"/>
      <c r="M89" s="39"/>
      <c r="N89" s="39"/>
      <c r="O89" s="58"/>
      <c r="P89" s="4"/>
      <c r="Q89" s="125"/>
      <c r="R89" s="125"/>
      <c r="S89" s="125"/>
      <c r="T89" s="125"/>
      <c r="U89" s="125"/>
      <c r="V89" s="125"/>
      <c r="W89" s="125"/>
      <c r="X89" s="125"/>
      <c r="Y89" s="125"/>
      <c r="Z89" s="125"/>
      <c r="AA89" s="125"/>
      <c r="AB89" s="125"/>
    </row>
    <row r="90" spans="1:28" ht="151.80000000000001">
      <c r="A90" s="125"/>
      <c r="B90" s="87" t="s">
        <v>756</v>
      </c>
      <c r="C90" s="117" t="s">
        <v>757</v>
      </c>
      <c r="D90" s="119" t="s">
        <v>758</v>
      </c>
      <c r="E90" s="189" t="s">
        <v>759</v>
      </c>
      <c r="F90" s="190" t="s">
        <v>760</v>
      </c>
      <c r="G90" s="109"/>
      <c r="H90" s="136" t="s">
        <v>10</v>
      </c>
      <c r="I90" s="136" t="s">
        <v>10</v>
      </c>
      <c r="J90" s="136" t="s">
        <v>10</v>
      </c>
      <c r="K90" s="39"/>
      <c r="L90" s="39"/>
      <c r="M90" s="39"/>
      <c r="N90" s="39"/>
      <c r="O90" s="58"/>
      <c r="P90" s="4"/>
      <c r="Q90" s="125"/>
      <c r="R90" s="125"/>
      <c r="S90" s="125"/>
      <c r="T90" s="125"/>
      <c r="U90" s="125"/>
      <c r="V90" s="125"/>
      <c r="W90" s="125"/>
      <c r="X90" s="125"/>
      <c r="Y90" s="125"/>
      <c r="Z90" s="125"/>
      <c r="AA90" s="125"/>
      <c r="AB90" s="125"/>
    </row>
    <row r="91" spans="1:28" ht="43.2">
      <c r="A91" s="125"/>
      <c r="B91" s="87" t="s">
        <v>761</v>
      </c>
      <c r="C91" s="117" t="s">
        <v>757</v>
      </c>
      <c r="D91" s="13" t="s">
        <v>695</v>
      </c>
      <c r="E91" s="103" t="s">
        <v>762</v>
      </c>
      <c r="F91" s="105" t="s">
        <v>763</v>
      </c>
      <c r="G91" s="181" t="s">
        <v>146</v>
      </c>
      <c r="H91" s="136" t="s">
        <v>10</v>
      </c>
      <c r="I91" s="136" t="s">
        <v>10</v>
      </c>
      <c r="J91" s="136" t="s">
        <v>10</v>
      </c>
      <c r="K91" s="39"/>
      <c r="L91" s="39"/>
      <c r="M91" s="39"/>
      <c r="N91" s="39"/>
      <c r="O91" s="58"/>
      <c r="P91" s="4"/>
      <c r="Q91" s="125"/>
      <c r="R91" s="125"/>
      <c r="S91" s="125"/>
      <c r="T91" s="125"/>
      <c r="U91" s="125"/>
      <c r="V91" s="125"/>
      <c r="W91" s="125"/>
      <c r="X91" s="125"/>
      <c r="Y91" s="125"/>
      <c r="Z91" s="125"/>
      <c r="AA91" s="125"/>
      <c r="AB91" s="125"/>
    </row>
    <row r="92" spans="1:28" ht="43.2">
      <c r="A92" s="125"/>
      <c r="B92" s="87" t="s">
        <v>764</v>
      </c>
      <c r="C92" s="117" t="s">
        <v>757</v>
      </c>
      <c r="D92" s="13" t="s">
        <v>699</v>
      </c>
      <c r="E92" s="103" t="s">
        <v>765</v>
      </c>
      <c r="F92" s="105" t="s">
        <v>763</v>
      </c>
      <c r="G92" s="181" t="s">
        <v>146</v>
      </c>
      <c r="H92" s="136" t="s">
        <v>10</v>
      </c>
      <c r="I92" s="136" t="s">
        <v>10</v>
      </c>
      <c r="J92" s="136" t="s">
        <v>10</v>
      </c>
      <c r="K92" s="39"/>
      <c r="L92" s="39"/>
      <c r="M92" s="39"/>
      <c r="N92" s="39"/>
      <c r="O92" s="58"/>
      <c r="P92" s="4"/>
      <c r="Q92" s="125"/>
      <c r="R92" s="125"/>
      <c r="S92" s="125"/>
      <c r="T92" s="125"/>
      <c r="U92" s="125"/>
      <c r="V92" s="125"/>
      <c r="W92" s="125"/>
      <c r="X92" s="125"/>
      <c r="Y92" s="125"/>
      <c r="Z92" s="125"/>
      <c r="AA92" s="125"/>
      <c r="AB92" s="125"/>
    </row>
    <row r="93" spans="1:28" ht="57.6">
      <c r="A93" s="125"/>
      <c r="B93" s="87" t="s">
        <v>766</v>
      </c>
      <c r="C93" s="117" t="s">
        <v>757</v>
      </c>
      <c r="D93" s="13" t="s">
        <v>702</v>
      </c>
      <c r="E93" s="103" t="s">
        <v>767</v>
      </c>
      <c r="F93" s="105" t="s">
        <v>763</v>
      </c>
      <c r="G93" s="181" t="s">
        <v>146</v>
      </c>
      <c r="H93" s="136" t="s">
        <v>10</v>
      </c>
      <c r="I93" s="136" t="s">
        <v>10</v>
      </c>
      <c r="J93" s="136" t="s">
        <v>10</v>
      </c>
      <c r="K93" s="39"/>
      <c r="L93" s="39"/>
      <c r="M93" s="39"/>
      <c r="N93" s="39"/>
      <c r="O93" s="58"/>
      <c r="P93" s="4"/>
      <c r="Q93" s="125"/>
      <c r="R93" s="125"/>
      <c r="S93" s="125"/>
      <c r="T93" s="125"/>
      <c r="U93" s="125"/>
      <c r="V93" s="125"/>
      <c r="W93" s="125"/>
      <c r="X93" s="125"/>
      <c r="Y93" s="125"/>
      <c r="Z93" s="125"/>
      <c r="AA93" s="125"/>
      <c r="AB93" s="125"/>
    </row>
    <row r="94" spans="1:28" ht="43.2">
      <c r="A94" s="125"/>
      <c r="B94" s="87" t="s">
        <v>768</v>
      </c>
      <c r="C94" s="117" t="s">
        <v>757</v>
      </c>
      <c r="D94" s="13" t="s">
        <v>705</v>
      </c>
      <c r="E94" s="103" t="s">
        <v>769</v>
      </c>
      <c r="F94" s="105" t="s">
        <v>763</v>
      </c>
      <c r="G94" s="181" t="s">
        <v>146</v>
      </c>
      <c r="H94" s="136" t="s">
        <v>10</v>
      </c>
      <c r="I94" s="136" t="s">
        <v>10</v>
      </c>
      <c r="J94" s="136" t="s">
        <v>10</v>
      </c>
      <c r="K94" s="39"/>
      <c r="L94" s="39"/>
      <c r="M94" s="39"/>
      <c r="N94" s="39"/>
      <c r="O94" s="58"/>
      <c r="P94" s="4"/>
      <c r="Q94" s="125"/>
      <c r="R94" s="125"/>
      <c r="S94" s="125"/>
      <c r="T94" s="125"/>
      <c r="U94" s="125"/>
      <c r="V94" s="125"/>
      <c r="W94" s="125"/>
      <c r="X94" s="125"/>
      <c r="Y94" s="125"/>
      <c r="Z94" s="125"/>
      <c r="AA94" s="125"/>
      <c r="AB94" s="125"/>
    </row>
    <row r="95" spans="1:28" ht="57.6">
      <c r="A95" s="125"/>
      <c r="B95" s="87" t="s">
        <v>770</v>
      </c>
      <c r="C95" s="117" t="s">
        <v>757</v>
      </c>
      <c r="D95" s="13" t="s">
        <v>708</v>
      </c>
      <c r="E95" s="103" t="s">
        <v>771</v>
      </c>
      <c r="F95" s="105" t="s">
        <v>763</v>
      </c>
      <c r="G95" s="181" t="s">
        <v>146</v>
      </c>
      <c r="H95" s="136" t="s">
        <v>10</v>
      </c>
      <c r="I95" s="136" t="s">
        <v>10</v>
      </c>
      <c r="J95" s="136" t="s">
        <v>10</v>
      </c>
      <c r="K95" s="39"/>
      <c r="L95" s="39"/>
      <c r="M95" s="39"/>
      <c r="N95" s="39"/>
      <c r="O95" s="58"/>
      <c r="P95" s="4"/>
      <c r="Q95" s="125"/>
      <c r="R95" s="125"/>
      <c r="S95" s="125"/>
      <c r="T95" s="125"/>
      <c r="U95" s="125"/>
      <c r="V95" s="125"/>
      <c r="W95" s="125"/>
      <c r="X95" s="125"/>
      <c r="Y95" s="125"/>
      <c r="Z95" s="125"/>
      <c r="AA95" s="125"/>
      <c r="AB95" s="125"/>
    </row>
    <row r="96" spans="1:28" ht="57.6">
      <c r="A96" s="125"/>
      <c r="B96" s="87" t="s">
        <v>772</v>
      </c>
      <c r="C96" s="117" t="s">
        <v>757</v>
      </c>
      <c r="D96" s="13" t="s">
        <v>711</v>
      </c>
      <c r="E96" s="103" t="s">
        <v>773</v>
      </c>
      <c r="F96" s="105" t="s">
        <v>763</v>
      </c>
      <c r="G96" s="181" t="s">
        <v>146</v>
      </c>
      <c r="H96" s="136" t="s">
        <v>10</v>
      </c>
      <c r="I96" s="136" t="s">
        <v>10</v>
      </c>
      <c r="J96" s="136" t="s">
        <v>10</v>
      </c>
      <c r="K96" s="39"/>
      <c r="L96" s="39"/>
      <c r="M96" s="39"/>
      <c r="N96" s="39"/>
      <c r="O96" s="58"/>
      <c r="P96" s="4"/>
      <c r="Q96" s="125"/>
      <c r="R96" s="125"/>
      <c r="S96" s="125"/>
      <c r="T96" s="125"/>
      <c r="U96" s="125"/>
      <c r="V96" s="125"/>
      <c r="W96" s="125"/>
      <c r="X96" s="125"/>
      <c r="Y96" s="125"/>
      <c r="Z96" s="125"/>
      <c r="AA96" s="125"/>
      <c r="AB96" s="125"/>
    </row>
    <row r="97" spans="1:28" ht="28.8">
      <c r="A97" s="125"/>
      <c r="B97" s="87" t="s">
        <v>774</v>
      </c>
      <c r="C97" s="117" t="s">
        <v>757</v>
      </c>
      <c r="D97" s="13" t="s">
        <v>775</v>
      </c>
      <c r="E97" s="103" t="s">
        <v>776</v>
      </c>
      <c r="F97" s="103" t="s">
        <v>777</v>
      </c>
      <c r="G97" s="184" t="s">
        <v>62</v>
      </c>
      <c r="H97" s="136" t="s">
        <v>10</v>
      </c>
      <c r="I97" s="136" t="s">
        <v>10</v>
      </c>
      <c r="J97" s="136" t="s">
        <v>10</v>
      </c>
      <c r="K97" s="39"/>
      <c r="L97" s="39"/>
      <c r="M97" s="39"/>
      <c r="N97" s="39"/>
      <c r="O97" s="58"/>
      <c r="P97" s="4"/>
      <c r="Q97" s="125"/>
      <c r="R97" s="125"/>
      <c r="S97" s="125"/>
      <c r="T97" s="125"/>
      <c r="U97" s="125"/>
      <c r="V97" s="125"/>
      <c r="W97" s="125"/>
      <c r="X97" s="125"/>
      <c r="Y97" s="125"/>
      <c r="Z97" s="125"/>
      <c r="AA97" s="125"/>
      <c r="AB97" s="125"/>
    </row>
    <row r="98" spans="1:28" ht="28.8">
      <c r="A98" s="125"/>
      <c r="B98" s="87" t="s">
        <v>778</v>
      </c>
      <c r="C98" s="117" t="s">
        <v>757</v>
      </c>
      <c r="D98" s="13" t="s">
        <v>779</v>
      </c>
      <c r="E98" s="103" t="s">
        <v>780</v>
      </c>
      <c r="F98" s="103" t="s">
        <v>777</v>
      </c>
      <c r="G98" s="184" t="s">
        <v>146</v>
      </c>
      <c r="H98" s="136" t="s">
        <v>10</v>
      </c>
      <c r="I98" s="136" t="s">
        <v>10</v>
      </c>
      <c r="J98" s="136" t="s">
        <v>10</v>
      </c>
      <c r="K98" s="39"/>
      <c r="L98" s="39"/>
      <c r="M98" s="39"/>
      <c r="N98" s="39"/>
      <c r="O98" s="58"/>
      <c r="P98" s="4"/>
      <c r="Q98" s="125"/>
      <c r="R98" s="125"/>
      <c r="S98" s="125"/>
      <c r="T98" s="125"/>
      <c r="U98" s="125"/>
      <c r="V98" s="125"/>
      <c r="W98" s="125"/>
      <c r="X98" s="125"/>
      <c r="Y98" s="125"/>
      <c r="Z98" s="125"/>
      <c r="AA98" s="125"/>
      <c r="AB98" s="125"/>
    </row>
    <row r="99" spans="1:28" ht="28.8">
      <c r="A99" s="125"/>
      <c r="B99" s="87" t="s">
        <v>781</v>
      </c>
      <c r="C99" s="117" t="s">
        <v>757</v>
      </c>
      <c r="D99" s="13" t="s">
        <v>782</v>
      </c>
      <c r="E99" s="103" t="s">
        <v>783</v>
      </c>
      <c r="F99" s="103" t="s">
        <v>777</v>
      </c>
      <c r="G99" s="184" t="s">
        <v>62</v>
      </c>
      <c r="H99" s="136" t="s">
        <v>10</v>
      </c>
      <c r="I99" s="136" t="s">
        <v>10</v>
      </c>
      <c r="J99" s="136" t="s">
        <v>10</v>
      </c>
      <c r="K99" s="39"/>
      <c r="L99" s="39"/>
      <c r="M99" s="39"/>
      <c r="N99" s="39"/>
      <c r="O99" s="58"/>
      <c r="P99" s="4"/>
      <c r="Q99" s="125"/>
      <c r="R99" s="125"/>
      <c r="S99" s="125"/>
      <c r="T99" s="125"/>
      <c r="U99" s="125"/>
      <c r="V99" s="125"/>
      <c r="W99" s="125"/>
      <c r="X99" s="125"/>
      <c r="Y99" s="125"/>
      <c r="Z99" s="125"/>
      <c r="AA99" s="125"/>
      <c r="AB99" s="125"/>
    </row>
    <row r="100" spans="1:28" ht="57.6">
      <c r="A100" s="125"/>
      <c r="B100" s="87" t="s">
        <v>784</v>
      </c>
      <c r="C100" s="117" t="s">
        <v>757</v>
      </c>
      <c r="D100" s="13" t="s">
        <v>721</v>
      </c>
      <c r="E100" s="103" t="s">
        <v>785</v>
      </c>
      <c r="F100" s="103" t="s">
        <v>786</v>
      </c>
      <c r="G100" s="184" t="s">
        <v>146</v>
      </c>
      <c r="H100" s="136" t="s">
        <v>10</v>
      </c>
      <c r="I100" s="136" t="s">
        <v>10</v>
      </c>
      <c r="J100" s="136" t="s">
        <v>10</v>
      </c>
      <c r="K100" s="39"/>
      <c r="L100" s="39"/>
      <c r="M100" s="39"/>
      <c r="N100" s="39"/>
      <c r="O100" s="58"/>
      <c r="P100" s="4"/>
      <c r="Q100" s="125"/>
      <c r="R100" s="125"/>
      <c r="S100" s="125"/>
      <c r="T100" s="125"/>
      <c r="U100" s="125"/>
      <c r="V100" s="125"/>
      <c r="W100" s="125"/>
      <c r="X100" s="125"/>
      <c r="Y100" s="125"/>
      <c r="Z100" s="125"/>
      <c r="AA100" s="125"/>
      <c r="AB100" s="125"/>
    </row>
    <row r="101" spans="1:28" ht="43.2">
      <c r="A101" s="125"/>
      <c r="B101" s="87" t="s">
        <v>787</v>
      </c>
      <c r="C101" s="117" t="s">
        <v>757</v>
      </c>
      <c r="D101" s="13" t="s">
        <v>725</v>
      </c>
      <c r="E101" s="103" t="s">
        <v>788</v>
      </c>
      <c r="F101" s="103" t="s">
        <v>727</v>
      </c>
      <c r="G101" s="184" t="s">
        <v>157</v>
      </c>
      <c r="H101" s="136" t="s">
        <v>10</v>
      </c>
      <c r="I101" s="136" t="s">
        <v>10</v>
      </c>
      <c r="J101" s="136" t="s">
        <v>10</v>
      </c>
      <c r="K101" s="39"/>
      <c r="L101" s="39"/>
      <c r="M101" s="39"/>
      <c r="N101" s="39"/>
      <c r="O101" s="58"/>
      <c r="P101" s="4"/>
      <c r="Q101" s="125"/>
      <c r="R101" s="125"/>
      <c r="S101" s="125"/>
      <c r="T101" s="125"/>
      <c r="U101" s="125"/>
      <c r="V101" s="125"/>
      <c r="W101" s="125"/>
      <c r="X101" s="125"/>
      <c r="Y101" s="125"/>
      <c r="Z101" s="125"/>
      <c r="AA101" s="125"/>
      <c r="AB101" s="125"/>
    </row>
    <row r="102" spans="1:28" ht="57.6">
      <c r="A102" s="125"/>
      <c r="B102" s="87" t="s">
        <v>789</v>
      </c>
      <c r="C102" s="117" t="s">
        <v>757</v>
      </c>
      <c r="D102" s="13" t="s">
        <v>729</v>
      </c>
      <c r="E102" s="103" t="s">
        <v>790</v>
      </c>
      <c r="F102" s="103" t="s">
        <v>791</v>
      </c>
      <c r="G102" s="184" t="s">
        <v>146</v>
      </c>
      <c r="H102" s="136" t="s">
        <v>10</v>
      </c>
      <c r="I102" s="136" t="s">
        <v>10</v>
      </c>
      <c r="J102" s="136" t="s">
        <v>10</v>
      </c>
      <c r="K102" s="39"/>
      <c r="L102" s="39"/>
      <c r="M102" s="39"/>
      <c r="N102" s="39"/>
      <c r="O102" s="58"/>
      <c r="P102" s="4"/>
      <c r="Q102" s="125"/>
      <c r="R102" s="125"/>
      <c r="S102" s="125"/>
      <c r="T102" s="125"/>
      <c r="U102" s="125"/>
      <c r="V102" s="125"/>
      <c r="W102" s="125"/>
      <c r="X102" s="125"/>
      <c r="Y102" s="125"/>
      <c r="Z102" s="125"/>
      <c r="AA102" s="125"/>
      <c r="AB102" s="125"/>
    </row>
    <row r="103" spans="1:28" ht="57.6">
      <c r="A103" s="125"/>
      <c r="B103" s="87" t="s">
        <v>792</v>
      </c>
      <c r="C103" s="117" t="s">
        <v>757</v>
      </c>
      <c r="D103" s="13" t="s">
        <v>733</v>
      </c>
      <c r="E103" s="103" t="s">
        <v>793</v>
      </c>
      <c r="F103" s="103" t="s">
        <v>794</v>
      </c>
      <c r="G103" s="184" t="s">
        <v>146</v>
      </c>
      <c r="H103" s="136" t="s">
        <v>10</v>
      </c>
      <c r="I103" s="136" t="s">
        <v>10</v>
      </c>
      <c r="J103" s="136" t="s">
        <v>10</v>
      </c>
      <c r="K103" s="39"/>
      <c r="L103" s="39"/>
      <c r="M103" s="39"/>
      <c r="N103" s="39"/>
      <c r="O103" s="58"/>
      <c r="P103" s="4"/>
      <c r="Q103" s="125"/>
      <c r="R103" s="125"/>
      <c r="S103" s="125"/>
      <c r="T103" s="125"/>
      <c r="U103" s="125"/>
      <c r="V103" s="125"/>
      <c r="W103" s="125"/>
      <c r="X103" s="125"/>
      <c r="Y103" s="125"/>
      <c r="Z103" s="125"/>
      <c r="AA103" s="125"/>
      <c r="AB103" s="125"/>
    </row>
    <row r="104" spans="1:28" ht="86.4">
      <c r="A104" s="125"/>
      <c r="B104" s="87" t="s">
        <v>795</v>
      </c>
      <c r="C104" s="117" t="s">
        <v>757</v>
      </c>
      <c r="D104" s="13" t="s">
        <v>737</v>
      </c>
      <c r="E104" s="103" t="s">
        <v>796</v>
      </c>
      <c r="F104" s="103" t="s">
        <v>797</v>
      </c>
      <c r="G104" s="184" t="s">
        <v>151</v>
      </c>
      <c r="H104" s="136" t="s">
        <v>10</v>
      </c>
      <c r="I104" s="136" t="s">
        <v>10</v>
      </c>
      <c r="J104" s="136" t="s">
        <v>10</v>
      </c>
      <c r="K104" s="39"/>
      <c r="L104" s="39"/>
      <c r="M104" s="39"/>
      <c r="N104" s="39"/>
      <c r="O104" s="58"/>
      <c r="P104" s="4"/>
      <c r="Q104" s="125"/>
      <c r="R104" s="125"/>
      <c r="S104" s="125"/>
      <c r="T104" s="125"/>
      <c r="U104" s="125"/>
      <c r="V104" s="125"/>
      <c r="W104" s="125"/>
      <c r="X104" s="125"/>
      <c r="Y104" s="125"/>
      <c r="Z104" s="125"/>
      <c r="AA104" s="125"/>
      <c r="AB104" s="125"/>
    </row>
    <row r="105" spans="1:28" ht="28.8">
      <c r="A105" s="125"/>
      <c r="B105" s="87" t="s">
        <v>798</v>
      </c>
      <c r="C105" s="117" t="s">
        <v>757</v>
      </c>
      <c r="D105" s="13" t="s">
        <v>741</v>
      </c>
      <c r="E105" s="103" t="s">
        <v>799</v>
      </c>
      <c r="F105" s="103" t="s">
        <v>800</v>
      </c>
      <c r="G105" s="184" t="s">
        <v>157</v>
      </c>
      <c r="H105" s="136" t="s">
        <v>10</v>
      </c>
      <c r="I105" s="136" t="s">
        <v>10</v>
      </c>
      <c r="J105" s="136" t="s">
        <v>10</v>
      </c>
      <c r="K105" s="39"/>
      <c r="L105" s="39"/>
      <c r="M105" s="39"/>
      <c r="N105" s="39"/>
      <c r="O105" s="58"/>
      <c r="P105" s="4"/>
      <c r="Q105" s="125"/>
      <c r="R105" s="125"/>
      <c r="S105" s="125"/>
      <c r="T105" s="125"/>
      <c r="U105" s="125"/>
      <c r="V105" s="125"/>
      <c r="W105" s="125"/>
      <c r="X105" s="125"/>
      <c r="Y105" s="125"/>
      <c r="Z105" s="125"/>
      <c r="AA105" s="125"/>
      <c r="AB105" s="125"/>
    </row>
    <row r="106" spans="1:28" ht="28.8">
      <c r="A106" s="125"/>
      <c r="B106" s="87" t="s">
        <v>801</v>
      </c>
      <c r="C106" s="117" t="s">
        <v>757</v>
      </c>
      <c r="D106" s="13" t="s">
        <v>802</v>
      </c>
      <c r="E106" s="103" t="s">
        <v>803</v>
      </c>
      <c r="F106" s="103" t="s">
        <v>804</v>
      </c>
      <c r="G106" s="184" t="s">
        <v>146</v>
      </c>
      <c r="H106" s="136" t="s">
        <v>10</v>
      </c>
      <c r="I106" s="136" t="s">
        <v>10</v>
      </c>
      <c r="J106" s="136" t="s">
        <v>10</v>
      </c>
      <c r="K106" s="39"/>
      <c r="L106" s="39"/>
      <c r="M106" s="39"/>
      <c r="N106" s="39"/>
      <c r="O106" s="58"/>
      <c r="P106" s="4"/>
      <c r="Q106" s="125"/>
      <c r="R106" s="125"/>
      <c r="S106" s="125"/>
      <c r="T106" s="125"/>
      <c r="U106" s="125"/>
      <c r="V106" s="125"/>
      <c r="W106" s="125"/>
      <c r="X106" s="125"/>
      <c r="Y106" s="125"/>
      <c r="Z106" s="125"/>
      <c r="AA106" s="125"/>
      <c r="AB106" s="125"/>
    </row>
    <row r="107" spans="1:28" ht="28.8">
      <c r="A107" s="125"/>
      <c r="B107" s="87" t="s">
        <v>805</v>
      </c>
      <c r="C107" s="117" t="s">
        <v>757</v>
      </c>
      <c r="D107" s="13" t="s">
        <v>806</v>
      </c>
      <c r="E107" s="103" t="s">
        <v>807</v>
      </c>
      <c r="F107" s="103" t="s">
        <v>751</v>
      </c>
      <c r="G107" s="184" t="s">
        <v>146</v>
      </c>
      <c r="H107" s="136" t="s">
        <v>10</v>
      </c>
      <c r="I107" s="136" t="s">
        <v>10</v>
      </c>
      <c r="J107" s="136" t="s">
        <v>10</v>
      </c>
      <c r="K107" s="39"/>
      <c r="L107" s="39"/>
      <c r="M107" s="39"/>
      <c r="N107" s="39"/>
      <c r="O107" s="58"/>
      <c r="P107" s="4"/>
      <c r="Q107" s="125"/>
      <c r="R107" s="125"/>
      <c r="S107" s="125"/>
      <c r="T107" s="125"/>
      <c r="U107" s="125"/>
      <c r="V107" s="125"/>
      <c r="W107" s="125"/>
      <c r="X107" s="125"/>
      <c r="Y107" s="125"/>
      <c r="Z107" s="125"/>
      <c r="AA107" s="125"/>
      <c r="AB107" s="125"/>
    </row>
    <row r="108" spans="1:28" ht="43.2">
      <c r="A108" s="125"/>
      <c r="B108" s="87" t="s">
        <v>808</v>
      </c>
      <c r="C108" s="117" t="s">
        <v>757</v>
      </c>
      <c r="D108" s="87" t="s">
        <v>809</v>
      </c>
      <c r="E108" s="105" t="s">
        <v>810</v>
      </c>
      <c r="F108" s="105" t="s">
        <v>755</v>
      </c>
      <c r="G108" s="181" t="s">
        <v>157</v>
      </c>
      <c r="H108" s="136" t="s">
        <v>10</v>
      </c>
      <c r="I108" s="136" t="s">
        <v>10</v>
      </c>
      <c r="J108" s="136" t="s">
        <v>10</v>
      </c>
      <c r="K108" s="39"/>
      <c r="L108" s="39"/>
      <c r="M108" s="39"/>
      <c r="N108" s="39"/>
      <c r="O108" s="58"/>
      <c r="P108" s="4"/>
      <c r="Q108" s="125"/>
      <c r="R108" s="125"/>
      <c r="S108" s="125"/>
      <c r="T108" s="125"/>
      <c r="U108" s="125"/>
      <c r="V108" s="125"/>
      <c r="W108" s="125"/>
      <c r="X108" s="125"/>
      <c r="Y108" s="125"/>
      <c r="Z108" s="125"/>
      <c r="AA108" s="125"/>
      <c r="AB108" s="125"/>
    </row>
    <row r="109" spans="1:28" ht="14.4">
      <c r="A109" s="125"/>
      <c r="B109" s="109"/>
      <c r="C109" s="191"/>
      <c r="D109" s="109"/>
      <c r="E109" s="109"/>
      <c r="F109" s="109"/>
      <c r="G109" s="109"/>
      <c r="H109" s="136"/>
      <c r="I109" s="136"/>
      <c r="J109" s="136"/>
      <c r="K109" s="39"/>
      <c r="L109" s="39"/>
      <c r="M109" s="39"/>
      <c r="N109" s="39"/>
      <c r="O109" s="58"/>
      <c r="P109" s="4"/>
      <c r="Q109" s="125"/>
      <c r="R109" s="125"/>
      <c r="S109" s="125"/>
      <c r="T109" s="125"/>
      <c r="U109" s="125"/>
      <c r="V109" s="125"/>
      <c r="W109" s="125"/>
      <c r="X109" s="125"/>
      <c r="Y109" s="125"/>
      <c r="Z109" s="125"/>
      <c r="AA109" s="125"/>
      <c r="AB109" s="125"/>
    </row>
    <row r="110" spans="1:28" ht="100.8">
      <c r="A110" s="125"/>
      <c r="B110" s="87" t="s">
        <v>811</v>
      </c>
      <c r="C110" s="117" t="s">
        <v>812</v>
      </c>
      <c r="D110" s="87" t="s">
        <v>813</v>
      </c>
      <c r="E110" s="192" t="s">
        <v>814</v>
      </c>
      <c r="F110" s="193" t="s">
        <v>815</v>
      </c>
      <c r="G110" s="181"/>
      <c r="H110" s="136" t="s">
        <v>10</v>
      </c>
      <c r="I110" s="136" t="s">
        <v>10</v>
      </c>
      <c r="J110" s="136" t="s">
        <v>10</v>
      </c>
      <c r="K110" s="39"/>
      <c r="L110" s="39"/>
      <c r="M110" s="39"/>
      <c r="N110" s="39"/>
      <c r="O110" s="58"/>
      <c r="P110" s="4"/>
      <c r="Q110" s="125"/>
      <c r="R110" s="125"/>
      <c r="S110" s="125"/>
      <c r="T110" s="125"/>
      <c r="U110" s="125"/>
      <c r="V110" s="125"/>
      <c r="W110" s="125"/>
      <c r="X110" s="125"/>
      <c r="Y110" s="125"/>
      <c r="Z110" s="125"/>
      <c r="AA110" s="125"/>
      <c r="AB110" s="125"/>
    </row>
    <row r="111" spans="1:28" ht="43.2">
      <c r="A111" s="125"/>
      <c r="B111" s="87" t="s">
        <v>816</v>
      </c>
      <c r="C111" s="117" t="s">
        <v>812</v>
      </c>
      <c r="D111" s="13" t="s">
        <v>695</v>
      </c>
      <c r="E111" s="103" t="s">
        <v>762</v>
      </c>
      <c r="F111" s="105" t="s">
        <v>763</v>
      </c>
      <c r="G111" s="181" t="s">
        <v>146</v>
      </c>
      <c r="H111" s="136" t="s">
        <v>10</v>
      </c>
      <c r="I111" s="136" t="s">
        <v>10</v>
      </c>
      <c r="J111" s="136" t="s">
        <v>10</v>
      </c>
      <c r="K111" s="39"/>
      <c r="L111" s="39"/>
      <c r="M111" s="39"/>
      <c r="N111" s="39"/>
      <c r="O111" s="58"/>
      <c r="P111" s="4"/>
      <c r="Q111" s="125"/>
      <c r="R111" s="125"/>
      <c r="S111" s="125"/>
      <c r="T111" s="125"/>
      <c r="U111" s="125"/>
      <c r="V111" s="125"/>
      <c r="W111" s="125"/>
      <c r="X111" s="125"/>
      <c r="Y111" s="125"/>
      <c r="Z111" s="125"/>
      <c r="AA111" s="125"/>
      <c r="AB111" s="125"/>
    </row>
    <row r="112" spans="1:28" ht="43.2">
      <c r="A112" s="125"/>
      <c r="B112" s="87" t="s">
        <v>817</v>
      </c>
      <c r="C112" s="117" t="s">
        <v>812</v>
      </c>
      <c r="D112" s="13" t="s">
        <v>699</v>
      </c>
      <c r="E112" s="103" t="s">
        <v>765</v>
      </c>
      <c r="F112" s="105" t="s">
        <v>763</v>
      </c>
      <c r="G112" s="181" t="s">
        <v>146</v>
      </c>
      <c r="H112" s="136" t="s">
        <v>10</v>
      </c>
      <c r="I112" s="136" t="s">
        <v>10</v>
      </c>
      <c r="J112" s="136" t="s">
        <v>10</v>
      </c>
      <c r="K112" s="39"/>
      <c r="L112" s="39"/>
      <c r="M112" s="39"/>
      <c r="N112" s="39"/>
      <c r="O112" s="58"/>
      <c r="P112" s="4"/>
      <c r="Q112" s="125"/>
      <c r="R112" s="125"/>
      <c r="S112" s="125"/>
      <c r="T112" s="125"/>
      <c r="U112" s="125"/>
      <c r="V112" s="125"/>
      <c r="W112" s="125"/>
      <c r="X112" s="125"/>
      <c r="Y112" s="125"/>
      <c r="Z112" s="125"/>
      <c r="AA112" s="125"/>
      <c r="AB112" s="125"/>
    </row>
    <row r="113" spans="1:28" ht="57.6">
      <c r="A113" s="125"/>
      <c r="B113" s="87" t="s">
        <v>818</v>
      </c>
      <c r="C113" s="117" t="s">
        <v>812</v>
      </c>
      <c r="D113" s="13" t="s">
        <v>702</v>
      </c>
      <c r="E113" s="103" t="s">
        <v>767</v>
      </c>
      <c r="F113" s="105" t="s">
        <v>763</v>
      </c>
      <c r="G113" s="181" t="s">
        <v>146</v>
      </c>
      <c r="H113" s="136" t="s">
        <v>10</v>
      </c>
      <c r="I113" s="136" t="s">
        <v>10</v>
      </c>
      <c r="J113" s="136" t="s">
        <v>10</v>
      </c>
      <c r="K113" s="39"/>
      <c r="L113" s="39"/>
      <c r="M113" s="39"/>
      <c r="N113" s="39"/>
      <c r="O113" s="58"/>
      <c r="P113" s="4"/>
      <c r="Q113" s="125"/>
      <c r="R113" s="125"/>
      <c r="S113" s="125"/>
      <c r="T113" s="125"/>
      <c r="U113" s="125"/>
      <c r="V113" s="125"/>
      <c r="W113" s="125"/>
      <c r="X113" s="125"/>
      <c r="Y113" s="125"/>
      <c r="Z113" s="125"/>
      <c r="AA113" s="125"/>
      <c r="AB113" s="125"/>
    </row>
    <row r="114" spans="1:28" ht="43.2">
      <c r="A114" s="125"/>
      <c r="B114" s="87" t="s">
        <v>819</v>
      </c>
      <c r="C114" s="117" t="s">
        <v>812</v>
      </c>
      <c r="D114" s="13" t="s">
        <v>705</v>
      </c>
      <c r="E114" s="103" t="s">
        <v>769</v>
      </c>
      <c r="F114" s="105" t="s">
        <v>763</v>
      </c>
      <c r="G114" s="181" t="s">
        <v>146</v>
      </c>
      <c r="H114" s="136" t="s">
        <v>10</v>
      </c>
      <c r="I114" s="136" t="s">
        <v>10</v>
      </c>
      <c r="J114" s="136" t="s">
        <v>10</v>
      </c>
      <c r="K114" s="39"/>
      <c r="L114" s="39"/>
      <c r="M114" s="39"/>
      <c r="N114" s="39"/>
      <c r="O114" s="58"/>
      <c r="P114" s="4"/>
      <c r="Q114" s="125"/>
      <c r="R114" s="125"/>
      <c r="S114" s="125"/>
      <c r="T114" s="125"/>
      <c r="U114" s="125"/>
      <c r="V114" s="125"/>
      <c r="W114" s="125"/>
      <c r="X114" s="125"/>
      <c r="Y114" s="125"/>
      <c r="Z114" s="125"/>
      <c r="AA114" s="125"/>
      <c r="AB114" s="125"/>
    </row>
    <row r="115" spans="1:28" ht="57.6">
      <c r="A115" s="125"/>
      <c r="B115" s="87" t="s">
        <v>820</v>
      </c>
      <c r="C115" s="117" t="s">
        <v>812</v>
      </c>
      <c r="D115" s="13" t="s">
        <v>708</v>
      </c>
      <c r="E115" s="103" t="s">
        <v>771</v>
      </c>
      <c r="F115" s="105" t="s">
        <v>763</v>
      </c>
      <c r="G115" s="181" t="s">
        <v>146</v>
      </c>
      <c r="H115" s="136" t="s">
        <v>10</v>
      </c>
      <c r="I115" s="136" t="s">
        <v>10</v>
      </c>
      <c r="J115" s="136" t="s">
        <v>10</v>
      </c>
      <c r="K115" s="39"/>
      <c r="L115" s="39"/>
      <c r="M115" s="39"/>
      <c r="N115" s="39"/>
      <c r="O115" s="58"/>
      <c r="P115" s="4"/>
      <c r="Q115" s="125"/>
      <c r="R115" s="125"/>
      <c r="S115" s="125"/>
      <c r="T115" s="125"/>
      <c r="U115" s="125"/>
      <c r="V115" s="125"/>
      <c r="W115" s="125"/>
      <c r="X115" s="125"/>
      <c r="Y115" s="125"/>
      <c r="Z115" s="125"/>
      <c r="AA115" s="125"/>
      <c r="AB115" s="125"/>
    </row>
    <row r="116" spans="1:28" ht="57.6">
      <c r="A116" s="125"/>
      <c r="B116" s="87" t="s">
        <v>821</v>
      </c>
      <c r="C116" s="117" t="s">
        <v>812</v>
      </c>
      <c r="D116" s="13" t="s">
        <v>711</v>
      </c>
      <c r="E116" s="103" t="s">
        <v>773</v>
      </c>
      <c r="F116" s="105" t="s">
        <v>763</v>
      </c>
      <c r="G116" s="181" t="s">
        <v>146</v>
      </c>
      <c r="H116" s="136" t="s">
        <v>10</v>
      </c>
      <c r="I116" s="136" t="s">
        <v>10</v>
      </c>
      <c r="J116" s="136" t="s">
        <v>10</v>
      </c>
      <c r="K116" s="39"/>
      <c r="L116" s="39"/>
      <c r="M116" s="39"/>
      <c r="N116" s="39"/>
      <c r="O116" s="58"/>
      <c r="P116" s="4"/>
      <c r="Q116" s="125"/>
      <c r="R116" s="125"/>
      <c r="S116" s="125"/>
      <c r="T116" s="125"/>
      <c r="U116" s="125"/>
      <c r="V116" s="125"/>
      <c r="W116" s="125"/>
      <c r="X116" s="125"/>
      <c r="Y116" s="125"/>
      <c r="Z116" s="125"/>
      <c r="AA116" s="125"/>
      <c r="AB116" s="125"/>
    </row>
    <row r="117" spans="1:28" ht="28.8">
      <c r="A117" s="125"/>
      <c r="B117" s="87" t="s">
        <v>822</v>
      </c>
      <c r="C117" s="117" t="s">
        <v>812</v>
      </c>
      <c r="D117" s="13" t="s">
        <v>782</v>
      </c>
      <c r="E117" s="103" t="s">
        <v>823</v>
      </c>
      <c r="F117" s="103" t="s">
        <v>824</v>
      </c>
      <c r="G117" s="184" t="s">
        <v>62</v>
      </c>
      <c r="H117" s="136" t="s">
        <v>10</v>
      </c>
      <c r="I117" s="136" t="s">
        <v>10</v>
      </c>
      <c r="J117" s="136" t="s">
        <v>10</v>
      </c>
      <c r="K117" s="39"/>
      <c r="L117" s="39"/>
      <c r="M117" s="39"/>
      <c r="N117" s="39"/>
      <c r="O117" s="58"/>
      <c r="P117" s="4"/>
      <c r="Q117" s="125"/>
      <c r="R117" s="125"/>
      <c r="S117" s="125"/>
      <c r="T117" s="125"/>
      <c r="U117" s="125"/>
      <c r="V117" s="125"/>
      <c r="W117" s="125"/>
      <c r="X117" s="125"/>
      <c r="Y117" s="125"/>
      <c r="Z117" s="125"/>
      <c r="AA117" s="125"/>
      <c r="AB117" s="125"/>
    </row>
    <row r="118" spans="1:28" ht="28.8">
      <c r="A118" s="125"/>
      <c r="B118" s="87" t="s">
        <v>825</v>
      </c>
      <c r="C118" s="117" t="s">
        <v>812</v>
      </c>
      <c r="D118" s="13" t="s">
        <v>779</v>
      </c>
      <c r="E118" s="103" t="s">
        <v>826</v>
      </c>
      <c r="F118" s="103" t="s">
        <v>827</v>
      </c>
      <c r="G118" s="184" t="s">
        <v>62</v>
      </c>
      <c r="H118" s="136" t="s">
        <v>10</v>
      </c>
      <c r="I118" s="136" t="s">
        <v>10</v>
      </c>
      <c r="J118" s="136" t="s">
        <v>10</v>
      </c>
      <c r="K118" s="39"/>
      <c r="L118" s="39"/>
      <c r="M118" s="39"/>
      <c r="N118" s="39"/>
      <c r="O118" s="58"/>
      <c r="P118" s="4"/>
      <c r="Q118" s="125"/>
      <c r="R118" s="125"/>
      <c r="S118" s="125"/>
      <c r="T118" s="125"/>
      <c r="U118" s="125"/>
      <c r="V118" s="125"/>
      <c r="W118" s="125"/>
      <c r="X118" s="125"/>
      <c r="Y118" s="125"/>
      <c r="Z118" s="125"/>
      <c r="AA118" s="125"/>
      <c r="AB118" s="125"/>
    </row>
    <row r="119" spans="1:28" ht="57.6">
      <c r="A119" s="125"/>
      <c r="B119" s="87" t="s">
        <v>828</v>
      </c>
      <c r="C119" s="117" t="s">
        <v>812</v>
      </c>
      <c r="D119" s="13" t="s">
        <v>721</v>
      </c>
      <c r="E119" s="103" t="s">
        <v>785</v>
      </c>
      <c r="F119" s="103" t="s">
        <v>786</v>
      </c>
      <c r="G119" s="184" t="s">
        <v>146</v>
      </c>
      <c r="H119" s="136" t="s">
        <v>10</v>
      </c>
      <c r="I119" s="136" t="s">
        <v>10</v>
      </c>
      <c r="J119" s="136" t="s">
        <v>10</v>
      </c>
      <c r="K119" s="39"/>
      <c r="L119" s="39"/>
      <c r="M119" s="39"/>
      <c r="N119" s="39"/>
      <c r="O119" s="58"/>
      <c r="P119" s="4"/>
      <c r="Q119" s="125"/>
      <c r="R119" s="125"/>
      <c r="S119" s="125"/>
      <c r="T119" s="125"/>
      <c r="U119" s="125"/>
      <c r="V119" s="125"/>
      <c r="W119" s="125"/>
      <c r="X119" s="125"/>
      <c r="Y119" s="125"/>
      <c r="Z119" s="125"/>
      <c r="AA119" s="125"/>
      <c r="AB119" s="125"/>
    </row>
    <row r="120" spans="1:28" ht="43.2">
      <c r="A120" s="125"/>
      <c r="B120" s="87" t="s">
        <v>829</v>
      </c>
      <c r="C120" s="117" t="s">
        <v>812</v>
      </c>
      <c r="D120" s="13" t="s">
        <v>725</v>
      </c>
      <c r="E120" s="103" t="s">
        <v>788</v>
      </c>
      <c r="F120" s="103" t="s">
        <v>727</v>
      </c>
      <c r="G120" s="184" t="s">
        <v>157</v>
      </c>
      <c r="H120" s="136" t="s">
        <v>10</v>
      </c>
      <c r="I120" s="136" t="s">
        <v>10</v>
      </c>
      <c r="J120" s="136" t="s">
        <v>10</v>
      </c>
      <c r="K120" s="39"/>
      <c r="L120" s="39"/>
      <c r="M120" s="39"/>
      <c r="N120" s="39"/>
      <c r="O120" s="58"/>
      <c r="P120" s="4"/>
      <c r="Q120" s="125"/>
      <c r="R120" s="125"/>
      <c r="S120" s="125"/>
      <c r="T120" s="125"/>
      <c r="U120" s="125"/>
      <c r="V120" s="125"/>
      <c r="W120" s="125"/>
      <c r="X120" s="125"/>
      <c r="Y120" s="125"/>
      <c r="Z120" s="125"/>
      <c r="AA120" s="125"/>
      <c r="AB120" s="125"/>
    </row>
    <row r="121" spans="1:28" ht="57.6">
      <c r="A121" s="125"/>
      <c r="B121" s="87" t="s">
        <v>830</v>
      </c>
      <c r="C121" s="117" t="s">
        <v>812</v>
      </c>
      <c r="D121" s="13" t="s">
        <v>729</v>
      </c>
      <c r="E121" s="103" t="s">
        <v>790</v>
      </c>
      <c r="F121" s="103" t="s">
        <v>791</v>
      </c>
      <c r="G121" s="184" t="s">
        <v>146</v>
      </c>
      <c r="H121" s="136" t="s">
        <v>10</v>
      </c>
      <c r="I121" s="136" t="s">
        <v>10</v>
      </c>
      <c r="J121" s="136" t="s">
        <v>10</v>
      </c>
      <c r="K121" s="39"/>
      <c r="L121" s="39"/>
      <c r="M121" s="39"/>
      <c r="N121" s="39"/>
      <c r="O121" s="58"/>
      <c r="P121" s="4"/>
      <c r="Q121" s="125"/>
      <c r="R121" s="125"/>
      <c r="S121" s="125"/>
      <c r="T121" s="125"/>
      <c r="U121" s="125"/>
      <c r="V121" s="125"/>
      <c r="W121" s="125"/>
      <c r="X121" s="125"/>
      <c r="Y121" s="125"/>
      <c r="Z121" s="125"/>
      <c r="AA121" s="125"/>
      <c r="AB121" s="125"/>
    </row>
    <row r="122" spans="1:28" ht="57.6">
      <c r="A122" s="125"/>
      <c r="B122" s="87" t="s">
        <v>831</v>
      </c>
      <c r="C122" s="117" t="s">
        <v>812</v>
      </c>
      <c r="D122" s="13" t="s">
        <v>733</v>
      </c>
      <c r="E122" s="103" t="s">
        <v>793</v>
      </c>
      <c r="F122" s="103" t="s">
        <v>794</v>
      </c>
      <c r="G122" s="184" t="s">
        <v>146</v>
      </c>
      <c r="H122" s="136" t="s">
        <v>10</v>
      </c>
      <c r="I122" s="136" t="s">
        <v>10</v>
      </c>
      <c r="J122" s="136" t="s">
        <v>10</v>
      </c>
      <c r="K122" s="39"/>
      <c r="L122" s="39"/>
      <c r="M122" s="39"/>
      <c r="N122" s="39"/>
      <c r="O122" s="58"/>
      <c r="P122" s="4"/>
      <c r="Q122" s="125"/>
      <c r="R122" s="125"/>
      <c r="S122" s="125"/>
      <c r="T122" s="125"/>
      <c r="U122" s="125"/>
      <c r="V122" s="125"/>
      <c r="W122" s="125"/>
      <c r="X122" s="125"/>
      <c r="Y122" s="125"/>
      <c r="Z122" s="125"/>
      <c r="AA122" s="125"/>
      <c r="AB122" s="125"/>
    </row>
    <row r="123" spans="1:28" ht="86.4">
      <c r="A123" s="125"/>
      <c r="B123" s="87" t="s">
        <v>832</v>
      </c>
      <c r="C123" s="117" t="s">
        <v>812</v>
      </c>
      <c r="D123" s="13" t="s">
        <v>737</v>
      </c>
      <c r="E123" s="103" t="s">
        <v>796</v>
      </c>
      <c r="F123" s="103" t="s">
        <v>797</v>
      </c>
      <c r="G123" s="184" t="s">
        <v>151</v>
      </c>
      <c r="H123" s="136" t="s">
        <v>10</v>
      </c>
      <c r="I123" s="136" t="s">
        <v>10</v>
      </c>
      <c r="J123" s="136" t="s">
        <v>10</v>
      </c>
      <c r="K123" s="39"/>
      <c r="L123" s="39"/>
      <c r="M123" s="39"/>
      <c r="N123" s="39"/>
      <c r="O123" s="58"/>
      <c r="P123" s="4"/>
      <c r="Q123" s="125"/>
      <c r="R123" s="125"/>
      <c r="S123" s="125"/>
      <c r="T123" s="125"/>
      <c r="U123" s="125"/>
      <c r="V123" s="125"/>
      <c r="W123" s="125"/>
      <c r="X123" s="125"/>
      <c r="Y123" s="125"/>
      <c r="Z123" s="125"/>
      <c r="AA123" s="125"/>
      <c r="AB123" s="125"/>
    </row>
    <row r="124" spans="1:28" ht="28.8">
      <c r="A124" s="125"/>
      <c r="B124" s="87" t="s">
        <v>833</v>
      </c>
      <c r="C124" s="117" t="s">
        <v>812</v>
      </c>
      <c r="D124" s="13" t="s">
        <v>741</v>
      </c>
      <c r="E124" s="103" t="s">
        <v>799</v>
      </c>
      <c r="F124" s="103" t="s">
        <v>800</v>
      </c>
      <c r="G124" s="184" t="s">
        <v>157</v>
      </c>
      <c r="H124" s="136" t="s">
        <v>10</v>
      </c>
      <c r="I124" s="136" t="s">
        <v>10</v>
      </c>
      <c r="J124" s="136" t="s">
        <v>10</v>
      </c>
      <c r="K124" s="39"/>
      <c r="L124" s="39"/>
      <c r="M124" s="39"/>
      <c r="N124" s="39"/>
      <c r="O124" s="58"/>
      <c r="P124" s="4"/>
      <c r="Q124" s="125"/>
      <c r="R124" s="125"/>
      <c r="S124" s="125"/>
      <c r="T124" s="125"/>
      <c r="U124" s="125"/>
      <c r="V124" s="125"/>
      <c r="W124" s="125"/>
      <c r="X124" s="125"/>
      <c r="Y124" s="125"/>
      <c r="Z124" s="125"/>
      <c r="AA124" s="125"/>
      <c r="AB124" s="125"/>
    </row>
    <row r="125" spans="1:28" ht="28.8">
      <c r="A125" s="125"/>
      <c r="B125" s="87" t="s">
        <v>834</v>
      </c>
      <c r="C125" s="117" t="s">
        <v>812</v>
      </c>
      <c r="D125" s="13" t="s">
        <v>802</v>
      </c>
      <c r="E125" s="103" t="s">
        <v>803</v>
      </c>
      <c r="F125" s="103" t="s">
        <v>747</v>
      </c>
      <c r="G125" s="184" t="s">
        <v>146</v>
      </c>
      <c r="H125" s="136" t="s">
        <v>10</v>
      </c>
      <c r="I125" s="136" t="s">
        <v>10</v>
      </c>
      <c r="J125" s="136" t="s">
        <v>10</v>
      </c>
      <c r="K125" s="39"/>
      <c r="L125" s="39"/>
      <c r="M125" s="39"/>
      <c r="N125" s="39"/>
      <c r="O125" s="58"/>
      <c r="P125" s="4"/>
      <c r="Q125" s="125"/>
      <c r="R125" s="125"/>
      <c r="S125" s="125"/>
      <c r="T125" s="125"/>
      <c r="U125" s="125"/>
      <c r="V125" s="125"/>
      <c r="W125" s="125"/>
      <c r="X125" s="125"/>
      <c r="Y125" s="125"/>
      <c r="Z125" s="125"/>
      <c r="AA125" s="125"/>
      <c r="AB125" s="125"/>
    </row>
    <row r="126" spans="1:28" ht="28.8">
      <c r="A126" s="125"/>
      <c r="B126" s="87" t="s">
        <v>835</v>
      </c>
      <c r="C126" s="117" t="s">
        <v>812</v>
      </c>
      <c r="D126" s="13" t="s">
        <v>806</v>
      </c>
      <c r="E126" s="103" t="s">
        <v>807</v>
      </c>
      <c r="F126" s="103" t="s">
        <v>836</v>
      </c>
      <c r="G126" s="184" t="s">
        <v>146</v>
      </c>
      <c r="H126" s="136" t="s">
        <v>10</v>
      </c>
      <c r="I126" s="136" t="s">
        <v>10</v>
      </c>
      <c r="J126" s="136" t="s">
        <v>10</v>
      </c>
      <c r="K126" s="39"/>
      <c r="L126" s="39"/>
      <c r="M126" s="39"/>
      <c r="N126" s="39"/>
      <c r="O126" s="58"/>
      <c r="P126" s="4"/>
      <c r="Q126" s="125"/>
      <c r="R126" s="125"/>
      <c r="S126" s="125"/>
      <c r="T126" s="125"/>
      <c r="U126" s="125"/>
      <c r="V126" s="125"/>
      <c r="W126" s="125"/>
      <c r="X126" s="125"/>
      <c r="Y126" s="125"/>
      <c r="Z126" s="125"/>
      <c r="AA126" s="125"/>
      <c r="AB126" s="125"/>
    </row>
    <row r="127" spans="1:28" ht="43.2">
      <c r="A127" s="125"/>
      <c r="B127" s="87" t="s">
        <v>837</v>
      </c>
      <c r="C127" s="117" t="s">
        <v>812</v>
      </c>
      <c r="D127" s="87" t="s">
        <v>809</v>
      </c>
      <c r="E127" s="105" t="s">
        <v>838</v>
      </c>
      <c r="F127" s="105" t="s">
        <v>839</v>
      </c>
      <c r="G127" s="181" t="s">
        <v>157</v>
      </c>
      <c r="H127" s="136" t="s">
        <v>10</v>
      </c>
      <c r="I127" s="136" t="s">
        <v>10</v>
      </c>
      <c r="J127" s="136" t="s">
        <v>10</v>
      </c>
      <c r="K127" s="39"/>
      <c r="L127" s="39"/>
      <c r="M127" s="39"/>
      <c r="N127" s="39"/>
      <c r="O127" s="58"/>
      <c r="P127" s="4"/>
      <c r="Q127" s="125"/>
      <c r="R127" s="125"/>
      <c r="S127" s="125"/>
      <c r="T127" s="125"/>
      <c r="U127" s="125"/>
      <c r="V127" s="125"/>
      <c r="W127" s="125"/>
      <c r="X127" s="125"/>
      <c r="Y127" s="125"/>
      <c r="Z127" s="125"/>
      <c r="AA127" s="125"/>
      <c r="AB127" s="125"/>
    </row>
    <row r="128" spans="1:28" ht="14.4">
      <c r="A128" s="125"/>
      <c r="B128" s="58"/>
      <c r="C128" s="175"/>
      <c r="D128" s="119"/>
      <c r="E128" s="188"/>
      <c r="F128" s="188"/>
      <c r="G128" s="58"/>
      <c r="H128" s="136"/>
      <c r="I128" s="136"/>
      <c r="J128" s="136"/>
      <c r="K128" s="39"/>
      <c r="L128" s="39"/>
      <c r="M128" s="39"/>
      <c r="N128" s="39"/>
      <c r="O128" s="58"/>
      <c r="P128" s="4"/>
      <c r="Q128" s="125"/>
      <c r="R128" s="125"/>
      <c r="S128" s="125"/>
      <c r="T128" s="125"/>
      <c r="U128" s="125"/>
      <c r="V128" s="125"/>
      <c r="W128" s="125"/>
      <c r="X128" s="125"/>
      <c r="Y128" s="125"/>
      <c r="Z128" s="125"/>
      <c r="AA128" s="125"/>
      <c r="AB128" s="125"/>
    </row>
    <row r="129" spans="1:28" ht="55.2">
      <c r="A129" s="125"/>
      <c r="B129" s="58" t="s">
        <v>840</v>
      </c>
      <c r="C129" s="175" t="s">
        <v>841</v>
      </c>
      <c r="D129" s="119" t="s">
        <v>842</v>
      </c>
      <c r="E129" s="188" t="s">
        <v>843</v>
      </c>
      <c r="F129" s="188" t="s">
        <v>844</v>
      </c>
      <c r="G129" s="58"/>
      <c r="H129" s="136" t="s">
        <v>10</v>
      </c>
      <c r="I129" s="136" t="s">
        <v>10</v>
      </c>
      <c r="J129" s="136" t="s">
        <v>10</v>
      </c>
      <c r="K129" s="39"/>
      <c r="L129" s="39"/>
      <c r="M129" s="39"/>
      <c r="N129" s="39"/>
      <c r="O129" s="58"/>
      <c r="P129" s="4"/>
      <c r="Q129" s="125"/>
      <c r="R129" s="125"/>
      <c r="S129" s="125"/>
      <c r="T129" s="125"/>
      <c r="U129" s="125"/>
      <c r="V129" s="125"/>
      <c r="W129" s="125"/>
      <c r="X129" s="125"/>
      <c r="Y129" s="125"/>
      <c r="Z129" s="125"/>
      <c r="AA129" s="125"/>
      <c r="AB129" s="125"/>
    </row>
    <row r="130" spans="1:28" ht="41.4">
      <c r="A130" s="125"/>
      <c r="B130" s="58" t="s">
        <v>845</v>
      </c>
      <c r="C130" s="175" t="s">
        <v>841</v>
      </c>
      <c r="D130" s="119" t="s">
        <v>846</v>
      </c>
      <c r="E130" s="188" t="s">
        <v>847</v>
      </c>
      <c r="F130" s="188" t="s">
        <v>848</v>
      </c>
      <c r="G130" s="58"/>
      <c r="H130" s="136" t="s">
        <v>10</v>
      </c>
      <c r="I130" s="136" t="s">
        <v>10</v>
      </c>
      <c r="J130" s="136" t="s">
        <v>10</v>
      </c>
      <c r="K130" s="39"/>
      <c r="L130" s="39"/>
      <c r="M130" s="39"/>
      <c r="N130" s="39"/>
      <c r="O130" s="58"/>
      <c r="P130" s="4"/>
      <c r="Q130" s="125"/>
      <c r="R130" s="125"/>
      <c r="S130" s="125"/>
      <c r="T130" s="125"/>
      <c r="U130" s="125"/>
      <c r="V130" s="125"/>
      <c r="W130" s="125"/>
      <c r="X130" s="125"/>
      <c r="Y130" s="125"/>
      <c r="Z130" s="125"/>
      <c r="AA130" s="125"/>
      <c r="AB130" s="125"/>
    </row>
    <row r="131" spans="1:28" ht="27.6">
      <c r="A131" s="125"/>
      <c r="B131" s="58" t="s">
        <v>849</v>
      </c>
      <c r="C131" s="175" t="s">
        <v>841</v>
      </c>
      <c r="D131" s="119" t="s">
        <v>850</v>
      </c>
      <c r="E131" s="188" t="s">
        <v>851</v>
      </c>
      <c r="F131" s="188" t="s">
        <v>852</v>
      </c>
      <c r="G131" s="58"/>
      <c r="H131" s="136" t="s">
        <v>10</v>
      </c>
      <c r="I131" s="136" t="s">
        <v>10</v>
      </c>
      <c r="J131" s="136" t="s">
        <v>10</v>
      </c>
      <c r="K131" s="39"/>
      <c r="L131" s="39"/>
      <c r="M131" s="39"/>
      <c r="N131" s="39"/>
      <c r="O131" s="58"/>
      <c r="P131" s="4"/>
      <c r="Q131" s="125"/>
      <c r="R131" s="125"/>
      <c r="S131" s="125"/>
      <c r="T131" s="125"/>
      <c r="U131" s="125"/>
      <c r="V131" s="125"/>
      <c r="W131" s="125"/>
      <c r="X131" s="125"/>
      <c r="Y131" s="125"/>
      <c r="Z131" s="125"/>
      <c r="AA131" s="125"/>
      <c r="AB131" s="125"/>
    </row>
    <row r="132" spans="1:28" ht="41.4">
      <c r="A132" s="125"/>
      <c r="B132" s="58" t="s">
        <v>853</v>
      </c>
      <c r="C132" s="175" t="s">
        <v>841</v>
      </c>
      <c r="D132" s="119" t="s">
        <v>854</v>
      </c>
      <c r="E132" s="188" t="s">
        <v>855</v>
      </c>
      <c r="F132" s="188" t="s">
        <v>856</v>
      </c>
      <c r="G132" s="58"/>
      <c r="H132" s="136" t="s">
        <v>10</v>
      </c>
      <c r="I132" s="136" t="s">
        <v>10</v>
      </c>
      <c r="J132" s="136" t="s">
        <v>10</v>
      </c>
      <c r="K132" s="39"/>
      <c r="L132" s="39"/>
      <c r="M132" s="39"/>
      <c r="N132" s="39"/>
      <c r="O132" s="58"/>
      <c r="P132" s="4"/>
      <c r="Q132" s="125"/>
      <c r="R132" s="125"/>
      <c r="S132" s="125"/>
      <c r="T132" s="125"/>
      <c r="U132" s="125"/>
      <c r="V132" s="125"/>
      <c r="W132" s="125"/>
      <c r="X132" s="125"/>
      <c r="Y132" s="125"/>
      <c r="Z132" s="125"/>
      <c r="AA132" s="125"/>
      <c r="AB132" s="125"/>
    </row>
    <row r="133" spans="1:28" ht="14.4">
      <c r="A133" s="125"/>
      <c r="B133" s="58" t="s">
        <v>857</v>
      </c>
      <c r="C133" s="175" t="s">
        <v>841</v>
      </c>
      <c r="D133" s="119" t="s">
        <v>858</v>
      </c>
      <c r="E133" s="188" t="s">
        <v>859</v>
      </c>
      <c r="F133" s="188" t="s">
        <v>860</v>
      </c>
      <c r="G133" s="58"/>
      <c r="H133" s="136" t="s">
        <v>10</v>
      </c>
      <c r="I133" s="136" t="s">
        <v>10</v>
      </c>
      <c r="J133" s="136" t="s">
        <v>10</v>
      </c>
      <c r="K133" s="39"/>
      <c r="L133" s="39"/>
      <c r="M133" s="39"/>
      <c r="N133" s="39"/>
      <c r="O133" s="58"/>
      <c r="P133" s="4"/>
      <c r="Q133" s="125"/>
      <c r="R133" s="125"/>
      <c r="S133" s="125"/>
      <c r="T133" s="125"/>
      <c r="U133" s="125"/>
      <c r="V133" s="125"/>
      <c r="W133" s="125"/>
      <c r="X133" s="125"/>
      <c r="Y133" s="125"/>
      <c r="Z133" s="125"/>
      <c r="AA133" s="125"/>
      <c r="AB133" s="125"/>
    </row>
    <row r="134" spans="1:28" ht="27.6">
      <c r="A134" s="125"/>
      <c r="B134" s="58" t="s">
        <v>861</v>
      </c>
      <c r="C134" s="175" t="s">
        <v>841</v>
      </c>
      <c r="D134" s="119" t="s">
        <v>862</v>
      </c>
      <c r="E134" s="188" t="s">
        <v>863</v>
      </c>
      <c r="F134" s="188" t="s">
        <v>864</v>
      </c>
      <c r="G134" s="58"/>
      <c r="H134" s="136" t="s">
        <v>10</v>
      </c>
      <c r="I134" s="136" t="s">
        <v>10</v>
      </c>
      <c r="J134" s="136" t="s">
        <v>10</v>
      </c>
      <c r="K134" s="39"/>
      <c r="L134" s="39"/>
      <c r="M134" s="39"/>
      <c r="N134" s="39"/>
      <c r="O134" s="58"/>
      <c r="P134" s="4"/>
      <c r="Q134" s="125"/>
      <c r="R134" s="125"/>
      <c r="S134" s="125"/>
      <c r="T134" s="125"/>
      <c r="U134" s="125"/>
      <c r="V134" s="125"/>
      <c r="W134" s="125"/>
      <c r="X134" s="125"/>
      <c r="Y134" s="125"/>
      <c r="Z134" s="125"/>
      <c r="AA134" s="125"/>
      <c r="AB134" s="125"/>
    </row>
    <row r="135" spans="1:28" ht="124.2">
      <c r="A135" s="125"/>
      <c r="B135" s="58" t="s">
        <v>865</v>
      </c>
      <c r="C135" s="175" t="s">
        <v>866</v>
      </c>
      <c r="D135" s="119" t="s">
        <v>867</v>
      </c>
      <c r="E135" s="188" t="s">
        <v>868</v>
      </c>
      <c r="F135" s="188" t="s">
        <v>869</v>
      </c>
      <c r="G135" s="58"/>
      <c r="H135" s="136"/>
      <c r="I135" s="136"/>
      <c r="J135" s="136"/>
      <c r="K135" s="39"/>
      <c r="L135" s="39"/>
      <c r="M135" s="39"/>
      <c r="N135" s="39"/>
      <c r="O135" s="58"/>
      <c r="P135" s="4"/>
      <c r="Q135" s="125"/>
      <c r="R135" s="125"/>
      <c r="S135" s="125"/>
      <c r="T135" s="125"/>
      <c r="U135" s="125"/>
      <c r="V135" s="125"/>
      <c r="W135" s="125"/>
      <c r="X135" s="125"/>
      <c r="Y135" s="125"/>
      <c r="Z135" s="125"/>
      <c r="AA135" s="125"/>
      <c r="AB135" s="125"/>
    </row>
    <row r="136" spans="1:28" ht="69">
      <c r="A136" s="125"/>
      <c r="B136" s="58" t="s">
        <v>870</v>
      </c>
      <c r="C136" s="175" t="s">
        <v>841</v>
      </c>
      <c r="D136" s="119" t="s">
        <v>871</v>
      </c>
      <c r="E136" s="188" t="s">
        <v>872</v>
      </c>
      <c r="F136" s="188" t="s">
        <v>873</v>
      </c>
      <c r="G136" s="58"/>
      <c r="H136" s="136" t="s">
        <v>10</v>
      </c>
      <c r="I136" s="136" t="s">
        <v>10</v>
      </c>
      <c r="J136" s="136" t="s">
        <v>10</v>
      </c>
      <c r="K136" s="39"/>
      <c r="L136" s="39"/>
      <c r="M136" s="39"/>
      <c r="N136" s="39"/>
      <c r="O136" s="58"/>
      <c r="P136" s="4"/>
      <c r="Q136" s="125"/>
      <c r="R136" s="125"/>
      <c r="S136" s="125"/>
      <c r="T136" s="125"/>
      <c r="U136" s="125"/>
      <c r="V136" s="125"/>
      <c r="W136" s="125"/>
      <c r="X136" s="125"/>
      <c r="Y136" s="125"/>
      <c r="Z136" s="125"/>
      <c r="AA136" s="125"/>
      <c r="AB136" s="125"/>
    </row>
    <row r="137" spans="1:28" ht="27.6">
      <c r="A137" s="125"/>
      <c r="B137" s="58" t="s">
        <v>874</v>
      </c>
      <c r="C137" s="175" t="s">
        <v>841</v>
      </c>
      <c r="D137" s="119" t="s">
        <v>875</v>
      </c>
      <c r="E137" s="188" t="s">
        <v>876</v>
      </c>
      <c r="F137" s="188" t="s">
        <v>877</v>
      </c>
      <c r="G137" s="58"/>
      <c r="H137" s="136" t="s">
        <v>10</v>
      </c>
      <c r="I137" s="136" t="s">
        <v>10</v>
      </c>
      <c r="J137" s="136" t="s">
        <v>10</v>
      </c>
      <c r="K137" s="39"/>
      <c r="L137" s="39"/>
      <c r="M137" s="39"/>
      <c r="N137" s="39"/>
      <c r="O137" s="58"/>
      <c r="P137" s="4"/>
      <c r="Q137" s="125"/>
      <c r="R137" s="125"/>
      <c r="S137" s="125"/>
      <c r="T137" s="125"/>
      <c r="U137" s="125"/>
      <c r="V137" s="125"/>
      <c r="W137" s="125"/>
      <c r="X137" s="125"/>
      <c r="Y137" s="125"/>
      <c r="Z137" s="125"/>
      <c r="AA137" s="125"/>
      <c r="AB137" s="125"/>
    </row>
    <row r="138" spans="1:28" ht="69">
      <c r="A138" s="125"/>
      <c r="B138" s="58" t="s">
        <v>878</v>
      </c>
      <c r="C138" s="175" t="s">
        <v>841</v>
      </c>
      <c r="D138" s="119" t="s">
        <v>879</v>
      </c>
      <c r="E138" s="188" t="s">
        <v>880</v>
      </c>
      <c r="F138" s="188" t="s">
        <v>881</v>
      </c>
      <c r="G138" s="58"/>
      <c r="H138" s="136" t="s">
        <v>10</v>
      </c>
      <c r="I138" s="136" t="s">
        <v>10</v>
      </c>
      <c r="J138" s="136" t="s">
        <v>10</v>
      </c>
      <c r="K138" s="39"/>
      <c r="L138" s="39"/>
      <c r="M138" s="39"/>
      <c r="N138" s="39"/>
      <c r="O138" s="58"/>
      <c r="P138" s="4"/>
      <c r="Q138" s="125"/>
      <c r="R138" s="125"/>
      <c r="S138" s="125"/>
      <c r="T138" s="125"/>
      <c r="U138" s="125"/>
      <c r="V138" s="125"/>
      <c r="W138" s="125"/>
      <c r="X138" s="125"/>
      <c r="Y138" s="125"/>
      <c r="Z138" s="125"/>
      <c r="AA138" s="125"/>
      <c r="AB138" s="125"/>
    </row>
    <row r="139" spans="1:28" ht="82.8">
      <c r="A139" s="125"/>
      <c r="B139" s="58" t="s">
        <v>882</v>
      </c>
      <c r="C139" s="175" t="s">
        <v>841</v>
      </c>
      <c r="D139" s="119" t="s">
        <v>883</v>
      </c>
      <c r="E139" s="188" t="s">
        <v>884</v>
      </c>
      <c r="F139" s="188" t="s">
        <v>885</v>
      </c>
      <c r="G139" s="58"/>
      <c r="H139" s="136" t="s">
        <v>10</v>
      </c>
      <c r="I139" s="136" t="s">
        <v>10</v>
      </c>
      <c r="J139" s="136" t="s">
        <v>10</v>
      </c>
      <c r="K139" s="39"/>
      <c r="L139" s="39"/>
      <c r="M139" s="39"/>
      <c r="N139" s="39"/>
      <c r="O139" s="58"/>
      <c r="P139" s="4"/>
      <c r="Q139" s="125"/>
      <c r="R139" s="125"/>
      <c r="S139" s="125"/>
      <c r="T139" s="125"/>
      <c r="U139" s="125"/>
      <c r="V139" s="125"/>
      <c r="W139" s="125"/>
      <c r="X139" s="125"/>
      <c r="Y139" s="125"/>
      <c r="Z139" s="125"/>
      <c r="AA139" s="125"/>
      <c r="AB139" s="125"/>
    </row>
    <row r="140" spans="1:28" ht="27.6">
      <c r="A140" s="125"/>
      <c r="B140" s="58" t="s">
        <v>886</v>
      </c>
      <c r="C140" s="175" t="s">
        <v>841</v>
      </c>
      <c r="D140" s="119" t="s">
        <v>887</v>
      </c>
      <c r="E140" s="188" t="s">
        <v>888</v>
      </c>
      <c r="F140" s="188" t="s">
        <v>889</v>
      </c>
      <c r="G140" s="58"/>
      <c r="H140" s="136" t="s">
        <v>10</v>
      </c>
      <c r="I140" s="136" t="s">
        <v>10</v>
      </c>
      <c r="J140" s="136" t="s">
        <v>10</v>
      </c>
      <c r="K140" s="39"/>
      <c r="L140" s="39"/>
      <c r="M140" s="39"/>
      <c r="N140" s="39"/>
      <c r="O140" s="58"/>
      <c r="P140" s="4"/>
      <c r="Q140" s="125"/>
      <c r="R140" s="125"/>
      <c r="S140" s="125"/>
      <c r="T140" s="125"/>
      <c r="U140" s="125"/>
      <c r="V140" s="125"/>
      <c r="W140" s="125"/>
      <c r="X140" s="125"/>
      <c r="Y140" s="125"/>
      <c r="Z140" s="125"/>
      <c r="AA140" s="125"/>
      <c r="AB140" s="125"/>
    </row>
    <row r="141" spans="1:28" ht="55.8">
      <c r="A141" s="125"/>
      <c r="B141" s="58" t="s">
        <v>890</v>
      </c>
      <c r="C141" s="175" t="s">
        <v>841</v>
      </c>
      <c r="D141" s="119" t="s">
        <v>891</v>
      </c>
      <c r="E141" s="135" t="s">
        <v>892</v>
      </c>
      <c r="F141" s="135" t="s">
        <v>893</v>
      </c>
      <c r="G141" s="58"/>
      <c r="H141" s="136" t="s">
        <v>10</v>
      </c>
      <c r="I141" s="136" t="s">
        <v>10</v>
      </c>
      <c r="J141" s="136" t="s">
        <v>10</v>
      </c>
      <c r="K141" s="135"/>
      <c r="L141" s="135"/>
      <c r="M141" s="135"/>
      <c r="N141" s="135"/>
      <c r="O141" s="135"/>
      <c r="P141" s="4"/>
      <c r="Q141" s="125"/>
      <c r="R141" s="125"/>
      <c r="S141" s="125"/>
      <c r="T141" s="125"/>
      <c r="U141" s="125"/>
      <c r="V141" s="125"/>
      <c r="W141" s="125"/>
      <c r="X141" s="125"/>
      <c r="Y141" s="125"/>
      <c r="Z141" s="125"/>
      <c r="AA141" s="125"/>
      <c r="AB141" s="125"/>
    </row>
    <row r="142" spans="1:28" ht="55.8">
      <c r="A142" s="125"/>
      <c r="B142" s="58" t="s">
        <v>894</v>
      </c>
      <c r="C142" s="175" t="s">
        <v>841</v>
      </c>
      <c r="D142" s="119" t="s">
        <v>895</v>
      </c>
      <c r="E142" s="135" t="s">
        <v>896</v>
      </c>
      <c r="F142" s="135" t="s">
        <v>897</v>
      </c>
      <c r="G142" s="58"/>
      <c r="H142" s="136" t="s">
        <v>10</v>
      </c>
      <c r="I142" s="136" t="s">
        <v>10</v>
      </c>
      <c r="J142" s="136" t="s">
        <v>10</v>
      </c>
      <c r="K142" s="135"/>
      <c r="L142" s="135"/>
      <c r="M142" s="135"/>
      <c r="N142" s="135"/>
      <c r="O142" s="135"/>
      <c r="P142" s="4"/>
      <c r="Q142" s="125"/>
      <c r="R142" s="125"/>
      <c r="S142" s="125"/>
      <c r="T142" s="125"/>
      <c r="U142" s="125"/>
      <c r="V142" s="125"/>
      <c r="W142" s="125"/>
      <c r="X142" s="125"/>
      <c r="Y142" s="125"/>
      <c r="Z142" s="125"/>
      <c r="AA142" s="125"/>
      <c r="AB142" s="125"/>
    </row>
    <row r="143" spans="1:28" ht="28.2">
      <c r="A143" s="125"/>
      <c r="B143" s="58" t="s">
        <v>898</v>
      </c>
      <c r="C143" s="94" t="s">
        <v>899</v>
      </c>
      <c r="D143" s="119" t="s">
        <v>900</v>
      </c>
      <c r="E143" s="135" t="s">
        <v>901</v>
      </c>
      <c r="F143" s="135" t="s">
        <v>902</v>
      </c>
      <c r="G143" s="58"/>
      <c r="H143" s="136" t="s">
        <v>10</v>
      </c>
      <c r="I143" s="136" t="s">
        <v>10</v>
      </c>
      <c r="J143" s="136" t="s">
        <v>10</v>
      </c>
      <c r="K143" s="135"/>
      <c r="L143" s="135"/>
      <c r="M143" s="135"/>
      <c r="N143" s="135"/>
      <c r="O143" s="135"/>
      <c r="P143" s="4"/>
      <c r="Q143" s="125"/>
      <c r="R143" s="125"/>
      <c r="S143" s="125"/>
      <c r="T143" s="125"/>
      <c r="U143" s="125"/>
      <c r="V143" s="125"/>
      <c r="W143" s="125"/>
      <c r="X143" s="125"/>
      <c r="Y143" s="125"/>
      <c r="Z143" s="125"/>
      <c r="AA143" s="125"/>
      <c r="AB143" s="125"/>
    </row>
    <row r="144" spans="1:28" ht="28.2">
      <c r="A144" s="125"/>
      <c r="B144" s="58" t="s">
        <v>903</v>
      </c>
      <c r="C144" s="94" t="s">
        <v>899</v>
      </c>
      <c r="D144" s="119" t="s">
        <v>904</v>
      </c>
      <c r="E144" s="135" t="s">
        <v>905</v>
      </c>
      <c r="F144" s="135" t="s">
        <v>906</v>
      </c>
      <c r="G144" s="58"/>
      <c r="H144" s="136" t="s">
        <v>10</v>
      </c>
      <c r="I144" s="136" t="s">
        <v>10</v>
      </c>
      <c r="J144" s="136" t="s">
        <v>10</v>
      </c>
      <c r="K144" s="135"/>
      <c r="L144" s="135"/>
      <c r="M144" s="135"/>
      <c r="N144" s="135"/>
      <c r="O144" s="135"/>
      <c r="P144" s="4"/>
      <c r="Q144" s="125"/>
      <c r="R144" s="125"/>
      <c r="S144" s="125"/>
      <c r="T144" s="125"/>
      <c r="U144" s="125"/>
      <c r="V144" s="125"/>
      <c r="W144" s="125"/>
      <c r="X144" s="125"/>
      <c r="Y144" s="125"/>
      <c r="Z144" s="125"/>
      <c r="AA144" s="125"/>
      <c r="AB144" s="125"/>
    </row>
    <row r="145" spans="1:28" ht="14.4">
      <c r="A145" s="125"/>
      <c r="B145" s="4"/>
      <c r="C145" s="4"/>
      <c r="D145" s="4"/>
      <c r="E145" s="4"/>
      <c r="F145" s="4"/>
      <c r="G145" s="4"/>
      <c r="H145" s="4"/>
      <c r="I145" s="4"/>
      <c r="J145" s="4"/>
      <c r="K145" s="4"/>
      <c r="L145" s="4"/>
      <c r="M145" s="4"/>
      <c r="N145" s="4"/>
      <c r="O145" s="4"/>
      <c r="P145" s="4"/>
      <c r="Q145" s="125"/>
      <c r="R145" s="125"/>
      <c r="S145" s="125"/>
      <c r="T145" s="125"/>
      <c r="U145" s="125"/>
      <c r="V145" s="125"/>
      <c r="W145" s="125"/>
      <c r="X145" s="125"/>
      <c r="Y145" s="125"/>
      <c r="Z145" s="125"/>
      <c r="AA145" s="125"/>
      <c r="AB145" s="125"/>
    </row>
    <row r="146" spans="1:28" ht="138.6">
      <c r="A146" s="125"/>
      <c r="B146" s="58" t="s">
        <v>311</v>
      </c>
      <c r="C146" s="137" t="s">
        <v>312</v>
      </c>
      <c r="D146" s="119" t="s">
        <v>313</v>
      </c>
      <c r="E146" s="135" t="s">
        <v>907</v>
      </c>
      <c r="F146" s="135" t="s">
        <v>315</v>
      </c>
      <c r="G146" s="58"/>
      <c r="H146" s="136" t="s">
        <v>10</v>
      </c>
      <c r="I146" s="136" t="s">
        <v>10</v>
      </c>
      <c r="J146" s="136" t="s">
        <v>10</v>
      </c>
      <c r="K146" s="135"/>
      <c r="L146" s="135"/>
      <c r="M146" s="135"/>
      <c r="N146" s="135"/>
      <c r="O146" s="135"/>
      <c r="P146" s="4"/>
      <c r="Q146" s="125"/>
      <c r="R146" s="125"/>
      <c r="S146" s="125"/>
      <c r="T146" s="125"/>
      <c r="U146" s="125"/>
      <c r="V146" s="125"/>
      <c r="W146" s="125"/>
      <c r="X146" s="125"/>
      <c r="Y146" s="125"/>
      <c r="Z146" s="125"/>
      <c r="AA146" s="125"/>
      <c r="AB146" s="125"/>
    </row>
    <row r="147" spans="1:28" ht="97.2">
      <c r="A147" s="125"/>
      <c r="B147" s="58" t="s">
        <v>316</v>
      </c>
      <c r="C147" s="137" t="s">
        <v>312</v>
      </c>
      <c r="D147" s="119" t="s">
        <v>313</v>
      </c>
      <c r="E147" s="135" t="s">
        <v>908</v>
      </c>
      <c r="F147" s="135" t="s">
        <v>318</v>
      </c>
      <c r="G147" s="58"/>
      <c r="H147" s="136" t="s">
        <v>10</v>
      </c>
      <c r="I147" s="136" t="s">
        <v>10</v>
      </c>
      <c r="J147" s="136" t="s">
        <v>10</v>
      </c>
      <c r="K147" s="135"/>
      <c r="L147" s="135"/>
      <c r="M147" s="135"/>
      <c r="N147" s="135"/>
      <c r="O147" s="135"/>
      <c r="P147" s="4"/>
      <c r="Q147" s="125"/>
      <c r="R147" s="125"/>
      <c r="S147" s="125"/>
      <c r="T147" s="125"/>
      <c r="U147" s="125"/>
      <c r="V147" s="125"/>
      <c r="W147" s="125"/>
      <c r="X147" s="125"/>
      <c r="Y147" s="125"/>
      <c r="Z147" s="125"/>
      <c r="AA147" s="125"/>
      <c r="AB147" s="125"/>
    </row>
    <row r="148" spans="1:28" ht="27.6">
      <c r="A148" s="125"/>
      <c r="B148" s="58" t="s">
        <v>319</v>
      </c>
      <c r="C148" s="137" t="s">
        <v>312</v>
      </c>
      <c r="D148" s="138" t="s">
        <v>320</v>
      </c>
      <c r="E148" s="41" t="s">
        <v>321</v>
      </c>
      <c r="F148" s="41" t="s">
        <v>322</v>
      </c>
      <c r="G148" s="58"/>
      <c r="H148" s="136" t="s">
        <v>10</v>
      </c>
      <c r="I148" s="136" t="s">
        <v>10</v>
      </c>
      <c r="J148" s="136" t="s">
        <v>10</v>
      </c>
      <c r="K148" s="135"/>
      <c r="L148" s="135"/>
      <c r="M148" s="135"/>
      <c r="N148" s="135"/>
      <c r="O148" s="135"/>
      <c r="P148" s="4"/>
      <c r="Q148" s="125"/>
      <c r="R148" s="125"/>
      <c r="S148" s="125"/>
      <c r="T148" s="125"/>
      <c r="U148" s="125"/>
      <c r="V148" s="125"/>
      <c r="W148" s="125"/>
      <c r="X148" s="125"/>
      <c r="Y148" s="125"/>
      <c r="Z148" s="125"/>
      <c r="AA148" s="125"/>
      <c r="AB148" s="125"/>
    </row>
    <row r="149" spans="1:28" ht="83.4">
      <c r="A149" s="125"/>
      <c r="B149" s="58" t="s">
        <v>323</v>
      </c>
      <c r="C149" s="137" t="s">
        <v>312</v>
      </c>
      <c r="D149" s="138" t="s">
        <v>324</v>
      </c>
      <c r="E149" s="135" t="s">
        <v>325</v>
      </c>
      <c r="F149" s="41" t="s">
        <v>326</v>
      </c>
      <c r="G149" s="58"/>
      <c r="H149" s="136" t="s">
        <v>10</v>
      </c>
      <c r="I149" s="136" t="s">
        <v>10</v>
      </c>
      <c r="J149" s="136" t="s">
        <v>10</v>
      </c>
      <c r="K149" s="135"/>
      <c r="L149" s="135"/>
      <c r="M149" s="135"/>
      <c r="N149" s="135"/>
      <c r="O149" s="135"/>
      <c r="P149" s="4"/>
      <c r="Q149" s="125"/>
      <c r="R149" s="125"/>
      <c r="S149" s="125"/>
      <c r="T149" s="125"/>
      <c r="U149" s="125"/>
      <c r="V149" s="125"/>
      <c r="W149" s="125"/>
      <c r="X149" s="125"/>
      <c r="Y149" s="125"/>
      <c r="Z149" s="125"/>
      <c r="AA149" s="125"/>
      <c r="AB149" s="125"/>
    </row>
    <row r="150" spans="1:28" ht="69.599999999999994">
      <c r="A150" s="125"/>
      <c r="B150" s="58" t="s">
        <v>327</v>
      </c>
      <c r="C150" s="137" t="s">
        <v>312</v>
      </c>
      <c r="D150" s="138" t="s">
        <v>324</v>
      </c>
      <c r="E150" s="135" t="s">
        <v>328</v>
      </c>
      <c r="F150" s="123" t="s">
        <v>329</v>
      </c>
      <c r="G150" s="58"/>
      <c r="H150" s="136" t="s">
        <v>10</v>
      </c>
      <c r="I150" s="136" t="s">
        <v>10</v>
      </c>
      <c r="J150" s="136" t="s">
        <v>10</v>
      </c>
      <c r="K150" s="135"/>
      <c r="L150" s="135"/>
      <c r="M150" s="135"/>
      <c r="N150" s="135"/>
      <c r="O150" s="135"/>
      <c r="P150" s="4"/>
      <c r="Q150" s="125"/>
      <c r="R150" s="125"/>
      <c r="S150" s="125"/>
      <c r="T150" s="125"/>
      <c r="U150" s="125"/>
      <c r="V150" s="125"/>
      <c r="W150" s="125"/>
      <c r="X150" s="125"/>
      <c r="Y150" s="125"/>
      <c r="Z150" s="125"/>
      <c r="AA150" s="125"/>
      <c r="AB150" s="125"/>
    </row>
    <row r="151" spans="1:28" ht="69.599999999999994">
      <c r="A151" s="125"/>
      <c r="B151" s="58" t="s">
        <v>330</v>
      </c>
      <c r="C151" s="137" t="s">
        <v>312</v>
      </c>
      <c r="D151" s="138" t="s">
        <v>331</v>
      </c>
      <c r="E151" s="135" t="s">
        <v>332</v>
      </c>
      <c r="F151" s="41" t="s">
        <v>333</v>
      </c>
      <c r="G151" s="58"/>
      <c r="H151" s="136" t="s">
        <v>10</v>
      </c>
      <c r="I151" s="136" t="s">
        <v>10</v>
      </c>
      <c r="J151" s="136" t="s">
        <v>10</v>
      </c>
      <c r="K151" s="135"/>
      <c r="L151" s="135"/>
      <c r="M151" s="135"/>
      <c r="N151" s="135"/>
      <c r="O151" s="135"/>
      <c r="P151" s="4"/>
      <c r="Q151" s="125"/>
      <c r="R151" s="125"/>
      <c r="S151" s="125"/>
      <c r="T151" s="125"/>
      <c r="U151" s="125"/>
      <c r="V151" s="125"/>
      <c r="W151" s="125"/>
      <c r="X151" s="125"/>
      <c r="Y151" s="125"/>
      <c r="Z151" s="125"/>
      <c r="AA151" s="125"/>
      <c r="AB151" s="125"/>
    </row>
    <row r="152" spans="1:28" ht="14.4">
      <c r="A152" s="125"/>
      <c r="B152" s="58"/>
      <c r="C152" s="137"/>
      <c r="D152" s="138"/>
      <c r="E152" s="148" t="s">
        <v>430</v>
      </c>
      <c r="F152" s="41"/>
      <c r="G152" s="58"/>
      <c r="H152" s="136" t="s">
        <v>10</v>
      </c>
      <c r="I152" s="136" t="s">
        <v>10</v>
      </c>
      <c r="J152" s="136" t="s">
        <v>10</v>
      </c>
      <c r="K152" s="135"/>
      <c r="L152" s="135"/>
      <c r="M152" s="135"/>
      <c r="N152" s="135"/>
      <c r="O152" s="135"/>
      <c r="P152" s="4"/>
      <c r="Q152" s="125"/>
      <c r="R152" s="125"/>
      <c r="S152" s="125"/>
      <c r="T152" s="125"/>
      <c r="U152" s="125"/>
      <c r="V152" s="125"/>
      <c r="W152" s="125"/>
      <c r="X152" s="125"/>
      <c r="Y152" s="125"/>
      <c r="Z152" s="125"/>
      <c r="AA152" s="125"/>
      <c r="AB152" s="125"/>
    </row>
    <row r="153" spans="1:28" ht="82.8">
      <c r="A153" s="125"/>
      <c r="B153" s="58" t="s">
        <v>431</v>
      </c>
      <c r="C153" s="94" t="s">
        <v>430</v>
      </c>
      <c r="D153" s="138" t="s">
        <v>432</v>
      </c>
      <c r="E153" s="150" t="s">
        <v>909</v>
      </c>
      <c r="F153" s="194" t="s">
        <v>910</v>
      </c>
      <c r="G153" s="58"/>
      <c r="H153" s="136" t="s">
        <v>10</v>
      </c>
      <c r="I153" s="136" t="s">
        <v>10</v>
      </c>
      <c r="J153" s="136" t="s">
        <v>10</v>
      </c>
      <c r="K153" s="135"/>
      <c r="L153" s="135"/>
      <c r="M153" s="135"/>
      <c r="N153" s="135"/>
      <c r="O153" s="135"/>
      <c r="P153" s="4"/>
      <c r="Q153" s="125"/>
      <c r="R153" s="125"/>
      <c r="S153" s="125"/>
      <c r="T153" s="125"/>
      <c r="U153" s="125"/>
      <c r="V153" s="125"/>
      <c r="W153" s="125"/>
      <c r="X153" s="125"/>
      <c r="Y153" s="125"/>
      <c r="Z153" s="125"/>
      <c r="AA153" s="125"/>
      <c r="AB153" s="125"/>
    </row>
    <row r="154" spans="1:28" ht="69.599999999999994">
      <c r="A154" s="125"/>
      <c r="B154" s="58" t="s">
        <v>435</v>
      </c>
      <c r="C154" s="94" t="s">
        <v>430</v>
      </c>
      <c r="D154" s="138" t="s">
        <v>436</v>
      </c>
      <c r="E154" s="188" t="s">
        <v>437</v>
      </c>
      <c r="F154" s="135" t="s">
        <v>438</v>
      </c>
      <c r="G154" s="58"/>
      <c r="H154" s="136" t="s">
        <v>10</v>
      </c>
      <c r="I154" s="136" t="s">
        <v>10</v>
      </c>
      <c r="J154" s="136" t="s">
        <v>10</v>
      </c>
      <c r="K154" s="135"/>
      <c r="L154" s="135"/>
      <c r="M154" s="135"/>
      <c r="N154" s="135"/>
      <c r="O154" s="135"/>
      <c r="P154" s="4"/>
      <c r="Q154" s="125"/>
      <c r="R154" s="125"/>
      <c r="S154" s="125"/>
      <c r="T154" s="125"/>
      <c r="U154" s="125"/>
      <c r="V154" s="125"/>
      <c r="W154" s="125"/>
      <c r="X154" s="125"/>
      <c r="Y154" s="125"/>
      <c r="Z154" s="125"/>
      <c r="AA154" s="125"/>
      <c r="AB154" s="125"/>
    </row>
    <row r="155" spans="1:28" ht="110.4">
      <c r="A155" s="125"/>
      <c r="B155" s="58" t="s">
        <v>439</v>
      </c>
      <c r="C155" s="94" t="s">
        <v>430</v>
      </c>
      <c r="D155" s="138" t="s">
        <v>440</v>
      </c>
      <c r="E155" s="143" t="s">
        <v>911</v>
      </c>
      <c r="F155" s="151" t="s">
        <v>912</v>
      </c>
      <c r="G155" s="58"/>
      <c r="H155" s="136" t="s">
        <v>10</v>
      </c>
      <c r="I155" s="136" t="s">
        <v>10</v>
      </c>
      <c r="J155" s="136" t="s">
        <v>10</v>
      </c>
      <c r="K155" s="135"/>
      <c r="L155" s="135"/>
      <c r="M155" s="135"/>
      <c r="N155" s="135"/>
      <c r="O155" s="135"/>
      <c r="P155" s="4"/>
      <c r="Q155" s="125"/>
      <c r="R155" s="125"/>
      <c r="S155" s="125"/>
      <c r="T155" s="125"/>
      <c r="U155" s="125"/>
      <c r="V155" s="125"/>
      <c r="W155" s="125"/>
      <c r="X155" s="125"/>
      <c r="Y155" s="125"/>
      <c r="Z155" s="125"/>
      <c r="AA155" s="125"/>
      <c r="AB155" s="125"/>
    </row>
    <row r="156" spans="1:28" ht="111">
      <c r="A156" s="125"/>
      <c r="B156" s="58" t="s">
        <v>443</v>
      </c>
      <c r="C156" s="94" t="s">
        <v>430</v>
      </c>
      <c r="D156" s="138" t="s">
        <v>444</v>
      </c>
      <c r="E156" s="143" t="s">
        <v>913</v>
      </c>
      <c r="F156" s="64" t="s">
        <v>914</v>
      </c>
      <c r="G156" s="58"/>
      <c r="H156" s="136" t="s">
        <v>10</v>
      </c>
      <c r="I156" s="136" t="s">
        <v>10</v>
      </c>
      <c r="J156" s="136" t="s">
        <v>10</v>
      </c>
      <c r="K156" s="135"/>
      <c r="L156" s="135"/>
      <c r="M156" s="135"/>
      <c r="N156" s="135"/>
      <c r="O156" s="135"/>
      <c r="P156" s="4"/>
      <c r="Q156" s="125"/>
      <c r="R156" s="125"/>
      <c r="S156" s="125"/>
      <c r="T156" s="125"/>
      <c r="U156" s="125"/>
      <c r="V156" s="125"/>
      <c r="W156" s="125"/>
      <c r="X156" s="125"/>
      <c r="Y156" s="125"/>
      <c r="Z156" s="125"/>
      <c r="AA156" s="125"/>
      <c r="AB156" s="125"/>
    </row>
    <row r="157" spans="1:28" ht="27.6">
      <c r="A157" s="125"/>
      <c r="B157" s="58" t="s">
        <v>460</v>
      </c>
      <c r="C157" s="94" t="s">
        <v>461</v>
      </c>
      <c r="D157" s="119" t="s">
        <v>462</v>
      </c>
      <c r="E157" s="150" t="s">
        <v>463</v>
      </c>
      <c r="F157" s="150" t="s">
        <v>464</v>
      </c>
      <c r="G157" s="58"/>
      <c r="H157" s="136" t="s">
        <v>10</v>
      </c>
      <c r="I157" s="136" t="s">
        <v>10</v>
      </c>
      <c r="J157" s="136" t="s">
        <v>10</v>
      </c>
      <c r="K157" s="135"/>
      <c r="L157" s="135"/>
      <c r="M157" s="135"/>
      <c r="N157" s="135"/>
      <c r="O157" s="135"/>
      <c r="P157" s="4"/>
      <c r="Q157" s="125"/>
      <c r="R157" s="125"/>
      <c r="S157" s="125"/>
      <c r="T157" s="125"/>
      <c r="U157" s="125"/>
      <c r="V157" s="125"/>
      <c r="W157" s="125"/>
      <c r="X157" s="125"/>
      <c r="Y157" s="125"/>
      <c r="Z157" s="125"/>
      <c r="AA157" s="125"/>
      <c r="AB157" s="125"/>
    </row>
    <row r="158" spans="1:28" ht="27.6">
      <c r="A158" s="125"/>
      <c r="B158" s="58" t="s">
        <v>465</v>
      </c>
      <c r="C158" s="94" t="s">
        <v>466</v>
      </c>
      <c r="D158" s="128" t="s">
        <v>467</v>
      </c>
      <c r="E158" s="150" t="s">
        <v>468</v>
      </c>
      <c r="F158" s="150" t="s">
        <v>469</v>
      </c>
      <c r="G158" s="58"/>
      <c r="H158" s="136" t="s">
        <v>10</v>
      </c>
      <c r="I158" s="136" t="s">
        <v>10</v>
      </c>
      <c r="J158" s="136" t="s">
        <v>10</v>
      </c>
      <c r="K158" s="135"/>
      <c r="L158" s="135"/>
      <c r="M158" s="135"/>
      <c r="N158" s="135"/>
      <c r="O158" s="135"/>
      <c r="P158" s="4"/>
      <c r="Q158" s="125"/>
      <c r="R158" s="125"/>
      <c r="S158" s="125"/>
      <c r="T158" s="125"/>
      <c r="U158" s="125"/>
      <c r="V158" s="125"/>
      <c r="W158" s="125"/>
      <c r="X158" s="125"/>
      <c r="Y158" s="125"/>
      <c r="Z158" s="125"/>
      <c r="AA158" s="125"/>
      <c r="AB158" s="125"/>
    </row>
    <row r="159" spans="1:28" ht="27.6">
      <c r="A159" s="125"/>
      <c r="B159" s="58" t="s">
        <v>470</v>
      </c>
      <c r="C159" s="94" t="s">
        <v>471</v>
      </c>
      <c r="D159" s="119" t="s">
        <v>472</v>
      </c>
      <c r="E159" s="150" t="s">
        <v>473</v>
      </c>
      <c r="F159" s="165" t="s">
        <v>474</v>
      </c>
      <c r="G159" s="58"/>
      <c r="H159" s="136" t="s">
        <v>10</v>
      </c>
      <c r="I159" s="136" t="s">
        <v>10</v>
      </c>
      <c r="J159" s="136" t="s">
        <v>10</v>
      </c>
      <c r="K159" s="135"/>
      <c r="L159" s="135"/>
      <c r="M159" s="135"/>
      <c r="N159" s="135"/>
      <c r="O159" s="135"/>
      <c r="P159" s="4"/>
      <c r="Q159" s="125"/>
      <c r="R159" s="125"/>
      <c r="S159" s="125"/>
      <c r="T159" s="125"/>
      <c r="U159" s="125"/>
      <c r="V159" s="125"/>
      <c r="W159" s="125"/>
      <c r="X159" s="125"/>
      <c r="Y159" s="125"/>
      <c r="Z159" s="125"/>
      <c r="AA159" s="125"/>
      <c r="AB159" s="125"/>
    </row>
    <row r="160" spans="1:28" ht="110.4">
      <c r="A160" s="125"/>
      <c r="B160" s="58" t="s">
        <v>475</v>
      </c>
      <c r="C160" s="94" t="s">
        <v>476</v>
      </c>
      <c r="D160" s="119" t="s">
        <v>477</v>
      </c>
      <c r="E160" s="165" t="s">
        <v>478</v>
      </c>
      <c r="F160" s="165" t="s">
        <v>479</v>
      </c>
      <c r="G160" s="58"/>
      <c r="H160" s="136" t="s">
        <v>10</v>
      </c>
      <c r="I160" s="136" t="s">
        <v>10</v>
      </c>
      <c r="J160" s="136" t="s">
        <v>10</v>
      </c>
      <c r="K160" s="135"/>
      <c r="L160" s="135"/>
      <c r="M160" s="135"/>
      <c r="N160" s="135"/>
      <c r="O160" s="135"/>
      <c r="P160" s="4"/>
      <c r="Q160" s="125"/>
      <c r="R160" s="125"/>
      <c r="S160" s="125"/>
      <c r="T160" s="125"/>
      <c r="U160" s="125"/>
      <c r="V160" s="125"/>
      <c r="W160" s="125"/>
      <c r="X160" s="125"/>
      <c r="Y160" s="125"/>
      <c r="Z160" s="125"/>
      <c r="AA160" s="125"/>
      <c r="AB160" s="125"/>
    </row>
    <row r="161" spans="1:28" ht="42">
      <c r="A161" s="125"/>
      <c r="B161" s="58" t="s">
        <v>483</v>
      </c>
      <c r="C161" s="94" t="s">
        <v>484</v>
      </c>
      <c r="D161" s="119" t="s">
        <v>485</v>
      </c>
      <c r="E161" s="150" t="s">
        <v>486</v>
      </c>
      <c r="F161" s="135" t="s">
        <v>487</v>
      </c>
      <c r="G161" s="58"/>
      <c r="H161" s="136" t="s">
        <v>10</v>
      </c>
      <c r="I161" s="136" t="s">
        <v>10</v>
      </c>
      <c r="J161" s="136" t="s">
        <v>10</v>
      </c>
      <c r="K161" s="135"/>
      <c r="L161" s="135"/>
      <c r="M161" s="135"/>
      <c r="N161" s="135"/>
      <c r="O161" s="135"/>
      <c r="P161" s="4"/>
      <c r="Q161" s="125"/>
      <c r="R161" s="125"/>
      <c r="S161" s="125"/>
      <c r="T161" s="125"/>
      <c r="U161" s="125"/>
      <c r="V161" s="125"/>
      <c r="W161" s="125"/>
      <c r="X161" s="125"/>
      <c r="Y161" s="125"/>
      <c r="Z161" s="125"/>
      <c r="AA161" s="125"/>
      <c r="AB161" s="125"/>
    </row>
    <row r="162" spans="1:28" ht="14.4">
      <c r="A162" s="125"/>
      <c r="B162" s="125"/>
      <c r="C162" s="125"/>
      <c r="D162" s="4"/>
      <c r="E162" s="125"/>
      <c r="F162" s="125"/>
      <c r="G162" s="125"/>
      <c r="H162" s="125"/>
      <c r="I162" s="125"/>
      <c r="J162" s="125"/>
      <c r="K162" s="125"/>
      <c r="L162" s="125"/>
      <c r="M162" s="125"/>
      <c r="N162" s="125"/>
      <c r="O162" s="125"/>
      <c r="P162" s="4"/>
      <c r="Q162" s="125"/>
      <c r="R162" s="125"/>
      <c r="S162" s="125"/>
      <c r="T162" s="125"/>
      <c r="U162" s="125"/>
      <c r="V162" s="125"/>
      <c r="W162" s="125"/>
      <c r="X162" s="125"/>
      <c r="Y162" s="125"/>
      <c r="Z162" s="125"/>
      <c r="AA162" s="125"/>
      <c r="AB162" s="125"/>
    </row>
    <row r="163" spans="1:28" ht="14.4">
      <c r="A163" s="125"/>
      <c r="B163" s="125"/>
      <c r="C163" s="125"/>
      <c r="D163" s="4"/>
      <c r="E163" s="125"/>
      <c r="F163" s="125"/>
      <c r="G163" s="125"/>
      <c r="H163" s="125"/>
      <c r="I163" s="125"/>
      <c r="J163" s="125"/>
      <c r="K163" s="125"/>
      <c r="L163" s="125"/>
      <c r="M163" s="125"/>
      <c r="N163" s="125"/>
      <c r="O163" s="125"/>
      <c r="P163" s="4"/>
      <c r="Q163" s="125"/>
      <c r="R163" s="125"/>
      <c r="S163" s="125"/>
      <c r="T163" s="125"/>
      <c r="U163" s="125"/>
      <c r="V163" s="125"/>
      <c r="W163" s="125"/>
      <c r="X163" s="125"/>
      <c r="Y163" s="125"/>
      <c r="Z163" s="125"/>
      <c r="AA163" s="125"/>
      <c r="AB163" s="125"/>
    </row>
    <row r="164" spans="1:28" ht="14.4">
      <c r="A164" s="125"/>
      <c r="P164" s="4"/>
      <c r="Q164" s="125"/>
      <c r="R164" s="125"/>
      <c r="S164" s="125"/>
      <c r="T164" s="125"/>
      <c r="U164" s="125"/>
      <c r="V164" s="125"/>
      <c r="W164" s="125"/>
      <c r="X164" s="125"/>
      <c r="Y164" s="125"/>
      <c r="Z164" s="125"/>
      <c r="AA164" s="125"/>
      <c r="AB164" s="125"/>
    </row>
    <row r="165" spans="1:28" ht="14.4">
      <c r="A165" s="125"/>
      <c r="P165" s="4"/>
      <c r="Q165" s="125"/>
      <c r="R165" s="125"/>
      <c r="S165" s="125"/>
      <c r="T165" s="125"/>
      <c r="U165" s="125"/>
      <c r="V165" s="125"/>
      <c r="W165" s="125"/>
      <c r="X165" s="125"/>
      <c r="Y165" s="125"/>
      <c r="Z165" s="125"/>
      <c r="AA165" s="125"/>
      <c r="AB165" s="125"/>
    </row>
    <row r="166" spans="1:28" ht="14.4">
      <c r="A166" s="125"/>
      <c r="P166" s="4"/>
      <c r="Q166" s="125"/>
      <c r="R166" s="125"/>
      <c r="S166" s="125"/>
      <c r="T166" s="125"/>
      <c r="U166" s="125"/>
      <c r="V166" s="125"/>
      <c r="W166" s="125"/>
      <c r="X166" s="125"/>
      <c r="Y166" s="125"/>
      <c r="Z166" s="125"/>
      <c r="AA166" s="125"/>
      <c r="AB166" s="125"/>
    </row>
    <row r="167" spans="1:28" ht="14.4">
      <c r="A167" s="125"/>
      <c r="P167" s="4"/>
      <c r="Q167" s="125"/>
      <c r="R167" s="125"/>
      <c r="S167" s="125"/>
      <c r="T167" s="125"/>
      <c r="U167" s="125"/>
      <c r="V167" s="125"/>
      <c r="W167" s="125"/>
      <c r="X167" s="125"/>
      <c r="Y167" s="125"/>
      <c r="Z167" s="125"/>
      <c r="AA167" s="125"/>
      <c r="AB167" s="125"/>
    </row>
    <row r="168" spans="1:28" ht="14.4">
      <c r="A168" s="125"/>
      <c r="P168" s="4"/>
      <c r="Q168" s="125"/>
      <c r="R168" s="125"/>
      <c r="S168" s="125"/>
      <c r="T168" s="125"/>
      <c r="U168" s="125"/>
      <c r="V168" s="125"/>
      <c r="W168" s="125"/>
      <c r="X168" s="125"/>
      <c r="Y168" s="125"/>
      <c r="Z168" s="125"/>
      <c r="AA168" s="125"/>
      <c r="AB168" s="125"/>
    </row>
    <row r="169" spans="1:28" ht="14.4">
      <c r="A169" s="125"/>
      <c r="P169" s="4"/>
      <c r="Q169" s="125"/>
      <c r="R169" s="125"/>
      <c r="S169" s="125"/>
      <c r="T169" s="125"/>
      <c r="U169" s="125"/>
      <c r="V169" s="125"/>
      <c r="W169" s="125"/>
      <c r="X169" s="125"/>
      <c r="Y169" s="125"/>
      <c r="Z169" s="125"/>
      <c r="AA169" s="125"/>
      <c r="AB169" s="125"/>
    </row>
    <row r="170" spans="1:28" ht="14.4">
      <c r="A170" s="125"/>
      <c r="P170" s="4"/>
      <c r="Q170" s="125"/>
      <c r="R170" s="125"/>
      <c r="S170" s="125"/>
      <c r="T170" s="125"/>
      <c r="U170" s="125"/>
      <c r="V170" s="125"/>
      <c r="W170" s="125"/>
      <c r="X170" s="125"/>
      <c r="Y170" s="125"/>
      <c r="Z170" s="125"/>
      <c r="AA170" s="125"/>
      <c r="AB170" s="125"/>
    </row>
    <row r="171" spans="1:28" ht="15.75" customHeight="1">
      <c r="A171" s="125"/>
      <c r="P171" s="4"/>
      <c r="Q171" s="125"/>
      <c r="R171" s="125"/>
      <c r="S171" s="125"/>
      <c r="T171" s="125"/>
      <c r="U171" s="125"/>
      <c r="V171" s="125"/>
      <c r="W171" s="125"/>
      <c r="X171" s="125"/>
      <c r="Y171" s="125"/>
      <c r="Z171" s="125"/>
      <c r="AA171" s="125"/>
      <c r="AB171" s="125"/>
    </row>
    <row r="172" spans="1:28" ht="15.75" customHeight="1">
      <c r="A172" s="125"/>
      <c r="P172" s="4"/>
      <c r="Q172" s="125"/>
      <c r="R172" s="125"/>
      <c r="S172" s="125"/>
      <c r="T172" s="125"/>
      <c r="U172" s="125"/>
      <c r="V172" s="125"/>
      <c r="W172" s="125"/>
      <c r="X172" s="125"/>
      <c r="Y172" s="125"/>
      <c r="Z172" s="125"/>
      <c r="AA172" s="125"/>
      <c r="AB172" s="125"/>
    </row>
    <row r="173" spans="1:28" ht="15.75" customHeight="1">
      <c r="A173" s="125"/>
      <c r="P173" s="4"/>
      <c r="Q173" s="125"/>
      <c r="R173" s="125"/>
      <c r="S173" s="125"/>
      <c r="T173" s="125"/>
      <c r="U173" s="125"/>
      <c r="V173" s="125"/>
      <c r="W173" s="125"/>
      <c r="X173" s="125"/>
      <c r="Y173" s="125"/>
      <c r="Z173" s="125"/>
      <c r="AA173" s="125"/>
      <c r="AB173" s="125"/>
    </row>
    <row r="174" spans="1:28" ht="15.75" customHeight="1">
      <c r="A174" s="125"/>
      <c r="P174" s="4"/>
      <c r="Q174" s="125"/>
      <c r="R174" s="125"/>
      <c r="S174" s="125"/>
      <c r="T174" s="125"/>
      <c r="U174" s="125"/>
      <c r="V174" s="125"/>
      <c r="W174" s="125"/>
      <c r="X174" s="125"/>
      <c r="Y174" s="125"/>
      <c r="Z174" s="125"/>
      <c r="AA174" s="125"/>
      <c r="AB174" s="125"/>
    </row>
    <row r="175" spans="1:28" ht="15.75" customHeight="1">
      <c r="A175" s="125"/>
      <c r="P175" s="4"/>
      <c r="Q175" s="125"/>
      <c r="R175" s="125"/>
      <c r="S175" s="125"/>
      <c r="T175" s="125"/>
      <c r="U175" s="125"/>
      <c r="V175" s="125"/>
      <c r="W175" s="125"/>
      <c r="X175" s="125"/>
      <c r="Y175" s="125"/>
      <c r="Z175" s="125"/>
      <c r="AA175" s="125"/>
      <c r="AB175" s="125"/>
    </row>
    <row r="176" spans="1:28" ht="15.75" customHeight="1">
      <c r="A176" s="125"/>
      <c r="P176" s="4"/>
      <c r="Q176" s="125"/>
      <c r="R176" s="125"/>
      <c r="S176" s="125"/>
      <c r="T176" s="125"/>
      <c r="U176" s="125"/>
      <c r="V176" s="125"/>
      <c r="W176" s="125"/>
      <c r="X176" s="125"/>
      <c r="Y176" s="125"/>
      <c r="Z176" s="125"/>
      <c r="AA176" s="125"/>
      <c r="AB176" s="125"/>
    </row>
    <row r="177" spans="1:28" ht="15.75" customHeight="1">
      <c r="A177" s="125"/>
      <c r="P177" s="4"/>
      <c r="Q177" s="125"/>
      <c r="R177" s="125"/>
      <c r="S177" s="125"/>
      <c r="T177" s="125"/>
      <c r="U177" s="125"/>
      <c r="V177" s="125"/>
      <c r="W177" s="125"/>
      <c r="X177" s="125"/>
      <c r="Y177" s="125"/>
      <c r="Z177" s="125"/>
      <c r="AA177" s="125"/>
      <c r="AB177" s="125"/>
    </row>
    <row r="178" spans="1:28" ht="15.75" customHeight="1">
      <c r="A178" s="125"/>
      <c r="P178" s="4"/>
      <c r="Q178" s="125"/>
      <c r="R178" s="125"/>
      <c r="S178" s="125"/>
      <c r="T178" s="125"/>
      <c r="U178" s="125"/>
      <c r="V178" s="125"/>
      <c r="W178" s="125"/>
      <c r="X178" s="125"/>
      <c r="Y178" s="125"/>
      <c r="Z178" s="125"/>
      <c r="AA178" s="125"/>
      <c r="AB178" s="125"/>
    </row>
    <row r="179" spans="1:28" ht="15.75" customHeight="1">
      <c r="A179" s="125"/>
      <c r="P179" s="4"/>
      <c r="Q179" s="125"/>
      <c r="R179" s="125"/>
      <c r="S179" s="125"/>
      <c r="T179" s="125"/>
      <c r="U179" s="125"/>
      <c r="V179" s="125"/>
      <c r="W179" s="125"/>
      <c r="X179" s="125"/>
      <c r="Y179" s="125"/>
      <c r="Z179" s="125"/>
      <c r="AA179" s="125"/>
      <c r="AB179" s="125"/>
    </row>
    <row r="180" spans="1:28" ht="15.75" customHeight="1">
      <c r="A180" s="125"/>
      <c r="P180" s="4"/>
      <c r="Q180" s="125"/>
      <c r="R180" s="125"/>
      <c r="S180" s="125"/>
      <c r="T180" s="125"/>
      <c r="U180" s="125"/>
      <c r="V180" s="125"/>
      <c r="W180" s="125"/>
      <c r="X180" s="125"/>
      <c r="Y180" s="125"/>
      <c r="Z180" s="125"/>
      <c r="AA180" s="125"/>
      <c r="AB180" s="125"/>
    </row>
    <row r="181" spans="1:28" ht="15.75" customHeight="1">
      <c r="A181" s="125"/>
      <c r="P181" s="4"/>
      <c r="Q181" s="125"/>
      <c r="R181" s="125"/>
      <c r="S181" s="125"/>
      <c r="T181" s="125"/>
      <c r="U181" s="125"/>
      <c r="V181" s="125"/>
      <c r="W181" s="125"/>
      <c r="X181" s="125"/>
      <c r="Y181" s="125"/>
      <c r="Z181" s="125"/>
      <c r="AA181" s="125"/>
      <c r="AB181" s="125"/>
    </row>
    <row r="182" spans="1:28" ht="15.75" customHeight="1">
      <c r="A182" s="125"/>
      <c r="P182" s="4"/>
      <c r="Q182" s="125"/>
      <c r="R182" s="125"/>
      <c r="S182" s="125"/>
      <c r="T182" s="125"/>
      <c r="U182" s="125"/>
      <c r="V182" s="125"/>
      <c r="W182" s="125"/>
      <c r="X182" s="125"/>
      <c r="Y182" s="125"/>
      <c r="Z182" s="125"/>
      <c r="AA182" s="125"/>
      <c r="AB182" s="125"/>
    </row>
    <row r="183" spans="1:28" ht="15.75" customHeight="1">
      <c r="A183" s="125"/>
      <c r="P183" s="4"/>
      <c r="Q183" s="125"/>
      <c r="R183" s="125"/>
      <c r="S183" s="125"/>
      <c r="T183" s="125"/>
      <c r="U183" s="125"/>
      <c r="V183" s="125"/>
      <c r="W183" s="125"/>
      <c r="X183" s="125"/>
      <c r="Y183" s="125"/>
      <c r="Z183" s="125"/>
      <c r="AA183" s="125"/>
      <c r="AB183" s="125"/>
    </row>
    <row r="184" spans="1:28" ht="15.75" customHeight="1">
      <c r="A184" s="125"/>
      <c r="P184" s="4"/>
      <c r="Q184" s="125"/>
      <c r="R184" s="125"/>
      <c r="S184" s="125"/>
      <c r="T184" s="125"/>
      <c r="U184" s="125"/>
      <c r="V184" s="125"/>
      <c r="W184" s="125"/>
      <c r="X184" s="125"/>
      <c r="Y184" s="125"/>
      <c r="Z184" s="125"/>
      <c r="AA184" s="125"/>
      <c r="AB184" s="125"/>
    </row>
    <row r="185" spans="1:28" ht="15.75" customHeight="1">
      <c r="A185" s="125"/>
      <c r="B185" s="125"/>
      <c r="C185" s="125"/>
      <c r="D185" s="4"/>
      <c r="E185" s="125"/>
      <c r="F185" s="125"/>
      <c r="G185" s="125"/>
      <c r="H185" s="125"/>
      <c r="I185" s="125"/>
      <c r="J185" s="125"/>
      <c r="K185" s="125"/>
      <c r="L185" s="125"/>
      <c r="M185" s="125"/>
      <c r="N185" s="125"/>
      <c r="O185" s="125"/>
      <c r="P185" s="4"/>
      <c r="Q185" s="125"/>
      <c r="R185" s="125"/>
      <c r="S185" s="125"/>
      <c r="T185" s="125"/>
      <c r="U185" s="125"/>
      <c r="V185" s="125"/>
      <c r="W185" s="125"/>
      <c r="X185" s="125"/>
      <c r="Y185" s="125"/>
      <c r="Z185" s="125"/>
      <c r="AA185" s="125"/>
      <c r="AB185" s="125"/>
    </row>
    <row r="186" spans="1:28" ht="15.75" customHeight="1">
      <c r="A186" s="125"/>
      <c r="B186" s="125"/>
      <c r="C186" s="125"/>
      <c r="D186" s="4"/>
      <c r="E186" s="125"/>
      <c r="F186" s="125"/>
      <c r="G186" s="125"/>
      <c r="H186" s="125"/>
      <c r="I186" s="125"/>
      <c r="J186" s="125"/>
      <c r="K186" s="125"/>
      <c r="L186" s="125"/>
      <c r="M186" s="125"/>
      <c r="N186" s="125"/>
      <c r="O186" s="125"/>
      <c r="P186" s="4"/>
      <c r="Q186" s="125"/>
      <c r="R186" s="125"/>
      <c r="S186" s="125"/>
      <c r="T186" s="125"/>
      <c r="U186" s="125"/>
      <c r="V186" s="125"/>
      <c r="W186" s="125"/>
      <c r="X186" s="125"/>
      <c r="Y186" s="125"/>
      <c r="Z186" s="125"/>
      <c r="AA186" s="125"/>
      <c r="AB186" s="125"/>
    </row>
    <row r="187" spans="1:28" ht="15.75" customHeight="1">
      <c r="A187" s="125"/>
      <c r="B187" s="125"/>
      <c r="C187" s="125"/>
      <c r="D187" s="4"/>
      <c r="E187" s="125"/>
      <c r="F187" s="125"/>
      <c r="G187" s="125"/>
      <c r="H187" s="125"/>
      <c r="I187" s="125"/>
      <c r="J187" s="125"/>
      <c r="K187" s="125"/>
      <c r="L187" s="125"/>
      <c r="M187" s="125"/>
      <c r="N187" s="125"/>
      <c r="O187" s="125"/>
      <c r="P187" s="4"/>
      <c r="Q187" s="125"/>
      <c r="R187" s="125"/>
      <c r="S187" s="125"/>
      <c r="T187" s="125"/>
      <c r="U187" s="125"/>
      <c r="V187" s="125"/>
      <c r="W187" s="125"/>
      <c r="X187" s="125"/>
      <c r="Y187" s="125"/>
      <c r="Z187" s="125"/>
      <c r="AA187" s="125"/>
      <c r="AB187" s="125"/>
    </row>
    <row r="188" spans="1:28" ht="15.75" customHeight="1">
      <c r="A188" s="125"/>
      <c r="B188" s="125"/>
      <c r="C188" s="125"/>
      <c r="D188" s="4"/>
      <c r="E188" s="125"/>
      <c r="F188" s="125"/>
      <c r="G188" s="125"/>
      <c r="H188" s="125"/>
      <c r="I188" s="125"/>
      <c r="J188" s="125"/>
      <c r="K188" s="125"/>
      <c r="L188" s="125"/>
      <c r="M188" s="125"/>
      <c r="N188" s="125"/>
      <c r="O188" s="125"/>
      <c r="P188" s="4"/>
      <c r="Q188" s="125"/>
      <c r="R188" s="125"/>
      <c r="S188" s="125"/>
      <c r="T188" s="125"/>
      <c r="U188" s="125"/>
      <c r="V188" s="125"/>
      <c r="W188" s="125"/>
      <c r="X188" s="125"/>
      <c r="Y188" s="125"/>
      <c r="Z188" s="125"/>
      <c r="AA188" s="125"/>
      <c r="AB188" s="125"/>
    </row>
    <row r="189" spans="1:28" ht="15.75" customHeight="1">
      <c r="A189" s="125"/>
      <c r="B189" s="68" t="s">
        <v>915</v>
      </c>
      <c r="C189" s="83" t="s">
        <v>916</v>
      </c>
      <c r="D189" s="32" t="s">
        <v>917</v>
      </c>
      <c r="E189" s="150"/>
      <c r="F189" s="135"/>
      <c r="G189" s="58"/>
      <c r="H189" s="136" t="s">
        <v>10</v>
      </c>
      <c r="I189" s="136" t="s">
        <v>10</v>
      </c>
      <c r="J189" s="136" t="s">
        <v>10</v>
      </c>
      <c r="K189" s="135"/>
      <c r="L189" s="135"/>
      <c r="M189" s="135"/>
      <c r="N189" s="135"/>
      <c r="O189" s="135"/>
      <c r="P189" s="4"/>
      <c r="Q189" s="125"/>
      <c r="R189" s="125"/>
      <c r="S189" s="125"/>
      <c r="T189" s="125"/>
      <c r="U189" s="125"/>
      <c r="V189" s="125"/>
      <c r="W189" s="125"/>
      <c r="X189" s="125"/>
      <c r="Y189" s="125"/>
      <c r="Z189" s="125"/>
      <c r="AA189" s="125"/>
      <c r="AB189" s="125"/>
    </row>
    <row r="190" spans="1:28" ht="15.75" customHeight="1">
      <c r="A190" s="125"/>
      <c r="B190" s="68" t="s">
        <v>918</v>
      </c>
      <c r="C190" s="83" t="s">
        <v>916</v>
      </c>
      <c r="D190" s="119"/>
      <c r="E190" s="150"/>
      <c r="F190" s="135"/>
      <c r="G190" s="58"/>
      <c r="H190" s="136" t="s">
        <v>10</v>
      </c>
      <c r="I190" s="136" t="s">
        <v>10</v>
      </c>
      <c r="J190" s="136" t="s">
        <v>10</v>
      </c>
      <c r="K190" s="135"/>
      <c r="L190" s="135"/>
      <c r="M190" s="135"/>
      <c r="N190" s="135"/>
      <c r="O190" s="135"/>
      <c r="P190" s="4"/>
      <c r="Q190" s="125"/>
      <c r="R190" s="125"/>
      <c r="S190" s="125"/>
      <c r="T190" s="125"/>
      <c r="U190" s="125"/>
      <c r="V190" s="125"/>
      <c r="W190" s="125"/>
      <c r="X190" s="125"/>
      <c r="Y190" s="125"/>
      <c r="Z190" s="125"/>
      <c r="AA190" s="125"/>
      <c r="AB190" s="125"/>
    </row>
    <row r="191" spans="1:28" ht="15.75" customHeight="1">
      <c r="A191" s="125"/>
      <c r="B191" s="68" t="s">
        <v>919</v>
      </c>
      <c r="C191" s="83" t="s">
        <v>916</v>
      </c>
      <c r="D191" s="119"/>
      <c r="E191" s="150"/>
      <c r="F191" s="135"/>
      <c r="G191" s="58"/>
      <c r="H191" s="136" t="s">
        <v>10</v>
      </c>
      <c r="I191" s="136" t="s">
        <v>10</v>
      </c>
      <c r="J191" s="136" t="s">
        <v>10</v>
      </c>
      <c r="K191" s="135"/>
      <c r="L191" s="135"/>
      <c r="M191" s="135"/>
      <c r="N191" s="135"/>
      <c r="O191" s="135"/>
      <c r="P191" s="4"/>
      <c r="Q191" s="125"/>
      <c r="R191" s="125"/>
      <c r="S191" s="125"/>
      <c r="T191" s="125"/>
      <c r="U191" s="125"/>
      <c r="V191" s="125"/>
      <c r="W191" s="125"/>
      <c r="X191" s="125"/>
      <c r="Y191" s="125"/>
      <c r="Z191" s="125"/>
      <c r="AA191" s="125"/>
      <c r="AB191" s="125"/>
    </row>
    <row r="192" spans="1:28" ht="15.75" customHeight="1">
      <c r="A192" s="125"/>
      <c r="B192" s="68" t="s">
        <v>920</v>
      </c>
      <c r="C192" s="83" t="s">
        <v>916</v>
      </c>
      <c r="D192" s="119"/>
      <c r="E192" s="150"/>
      <c r="F192" s="135"/>
      <c r="G192" s="58"/>
      <c r="H192" s="136" t="s">
        <v>10</v>
      </c>
      <c r="I192" s="136" t="s">
        <v>10</v>
      </c>
      <c r="J192" s="136" t="s">
        <v>10</v>
      </c>
      <c r="K192" s="135"/>
      <c r="L192" s="135"/>
      <c r="M192" s="135"/>
      <c r="N192" s="135"/>
      <c r="O192" s="135"/>
      <c r="P192" s="4"/>
      <c r="Q192" s="125"/>
      <c r="R192" s="125"/>
      <c r="S192" s="125"/>
      <c r="T192" s="125"/>
      <c r="U192" s="125"/>
      <c r="V192" s="125"/>
      <c r="W192" s="125"/>
      <c r="X192" s="125"/>
      <c r="Y192" s="125"/>
      <c r="Z192" s="125"/>
      <c r="AA192" s="125"/>
      <c r="AB192" s="125"/>
    </row>
    <row r="193" spans="1:28" ht="15.75" customHeight="1">
      <c r="A193" s="125"/>
      <c r="B193" s="68" t="s">
        <v>921</v>
      </c>
      <c r="C193" s="83" t="s">
        <v>916</v>
      </c>
      <c r="D193" s="119"/>
      <c r="E193" s="150"/>
      <c r="F193" s="135"/>
      <c r="G193" s="58"/>
      <c r="H193" s="136" t="s">
        <v>10</v>
      </c>
      <c r="I193" s="136" t="s">
        <v>10</v>
      </c>
      <c r="J193" s="136" t="s">
        <v>10</v>
      </c>
      <c r="K193" s="135"/>
      <c r="L193" s="135"/>
      <c r="M193" s="135"/>
      <c r="N193" s="135"/>
      <c r="O193" s="135"/>
      <c r="P193" s="4"/>
      <c r="Q193" s="125"/>
      <c r="R193" s="125"/>
      <c r="S193" s="125"/>
      <c r="T193" s="125"/>
      <c r="U193" s="125"/>
      <c r="V193" s="125"/>
      <c r="W193" s="125"/>
      <c r="X193" s="125"/>
      <c r="Y193" s="125"/>
      <c r="Z193" s="125"/>
      <c r="AA193" s="125"/>
      <c r="AB193" s="125"/>
    </row>
    <row r="194" spans="1:28" ht="15.75" customHeight="1">
      <c r="A194" s="125"/>
      <c r="B194" s="68" t="s">
        <v>922</v>
      </c>
      <c r="C194" s="83" t="s">
        <v>916</v>
      </c>
      <c r="D194" s="119"/>
      <c r="E194" s="150"/>
      <c r="F194" s="135"/>
      <c r="G194" s="58"/>
      <c r="H194" s="136" t="s">
        <v>10</v>
      </c>
      <c r="I194" s="136" t="s">
        <v>10</v>
      </c>
      <c r="J194" s="136" t="s">
        <v>10</v>
      </c>
      <c r="K194" s="135"/>
      <c r="L194" s="135"/>
      <c r="M194" s="135"/>
      <c r="N194" s="135"/>
      <c r="O194" s="135"/>
      <c r="P194" s="4"/>
      <c r="Q194" s="125"/>
      <c r="R194" s="125"/>
      <c r="S194" s="125"/>
      <c r="T194" s="125"/>
      <c r="U194" s="125"/>
      <c r="V194" s="125"/>
      <c r="W194" s="125"/>
      <c r="X194" s="125"/>
      <c r="Y194" s="125"/>
      <c r="Z194" s="125"/>
      <c r="AA194" s="125"/>
      <c r="AB194" s="125"/>
    </row>
    <row r="195" spans="1:28" ht="15.75" customHeight="1">
      <c r="A195" s="125"/>
      <c r="B195" s="125"/>
      <c r="C195" s="125"/>
      <c r="D195" s="4"/>
      <c r="E195" s="125"/>
      <c r="F195" s="125"/>
      <c r="G195" s="125"/>
      <c r="H195" s="125"/>
      <c r="I195" s="125"/>
      <c r="J195" s="125"/>
      <c r="K195" s="125"/>
      <c r="L195" s="125"/>
      <c r="M195" s="125"/>
      <c r="N195" s="125"/>
      <c r="O195" s="125"/>
      <c r="P195" s="4"/>
      <c r="Q195" s="125"/>
      <c r="R195" s="125"/>
      <c r="S195" s="125"/>
      <c r="T195" s="125"/>
      <c r="U195" s="125"/>
      <c r="V195" s="125"/>
      <c r="W195" s="125"/>
      <c r="X195" s="125"/>
      <c r="Y195" s="125"/>
      <c r="Z195" s="125"/>
      <c r="AA195" s="125"/>
      <c r="AB195" s="125"/>
    </row>
    <row r="196" spans="1:28" ht="15.75" customHeight="1">
      <c r="A196" s="125"/>
      <c r="B196" s="125"/>
      <c r="C196" s="125"/>
      <c r="D196" s="4"/>
      <c r="E196" s="231" t="s">
        <v>51</v>
      </c>
      <c r="F196" s="224"/>
      <c r="G196" s="125"/>
      <c r="H196" s="125"/>
      <c r="I196" s="125"/>
      <c r="J196" s="125"/>
      <c r="K196" s="125"/>
      <c r="L196" s="125"/>
      <c r="M196" s="125"/>
      <c r="N196" s="125"/>
      <c r="O196" s="125"/>
      <c r="P196" s="4"/>
      <c r="Q196" s="125"/>
      <c r="R196" s="125"/>
      <c r="S196" s="125"/>
      <c r="T196" s="125"/>
      <c r="U196" s="125"/>
      <c r="V196" s="125"/>
      <c r="W196" s="125"/>
      <c r="X196" s="125"/>
      <c r="Y196" s="125"/>
      <c r="Z196" s="125"/>
      <c r="AA196" s="125"/>
      <c r="AB196" s="125"/>
    </row>
    <row r="197" spans="1:28" ht="15.75" customHeight="1">
      <c r="A197" s="125"/>
      <c r="B197" s="125"/>
      <c r="C197" s="125"/>
      <c r="D197" s="4"/>
      <c r="E197" s="109" t="s">
        <v>7</v>
      </c>
      <c r="F197" s="110">
        <f>COUNTIF(H4:H151,E197)</f>
        <v>0</v>
      </c>
      <c r="G197" s="125"/>
      <c r="H197" s="125"/>
      <c r="I197" s="125"/>
      <c r="J197" s="125"/>
      <c r="K197" s="125"/>
      <c r="L197" s="125"/>
      <c r="M197" s="125"/>
      <c r="N197" s="125"/>
      <c r="O197" s="125"/>
      <c r="P197" s="4"/>
      <c r="Q197" s="125"/>
      <c r="R197" s="125"/>
      <c r="S197" s="125"/>
      <c r="T197" s="125"/>
      <c r="U197" s="125"/>
      <c r="V197" s="125"/>
      <c r="W197" s="125"/>
      <c r="X197" s="125"/>
      <c r="Y197" s="125"/>
      <c r="Z197" s="125"/>
      <c r="AA197" s="125"/>
      <c r="AB197" s="125"/>
    </row>
    <row r="198" spans="1:28" ht="15.75" customHeight="1">
      <c r="A198" s="125"/>
      <c r="B198" s="125"/>
      <c r="C198" s="125"/>
      <c r="D198" s="4"/>
      <c r="E198" s="109" t="s">
        <v>8</v>
      </c>
      <c r="F198" s="110">
        <f>COUNTIF(H4:H151,E198)</f>
        <v>0</v>
      </c>
      <c r="G198" s="125"/>
      <c r="H198" s="125"/>
      <c r="I198" s="125"/>
      <c r="J198" s="125"/>
      <c r="K198" s="125"/>
      <c r="L198" s="125"/>
      <c r="M198" s="125"/>
      <c r="N198" s="125"/>
      <c r="O198" s="125"/>
      <c r="P198" s="4"/>
      <c r="Q198" s="125"/>
      <c r="R198" s="125"/>
      <c r="S198" s="125"/>
      <c r="T198" s="125"/>
      <c r="U198" s="125"/>
      <c r="V198" s="125"/>
      <c r="W198" s="125"/>
      <c r="X198" s="125"/>
      <c r="Y198" s="125"/>
      <c r="Z198" s="125"/>
      <c r="AA198" s="125"/>
      <c r="AB198" s="125"/>
    </row>
    <row r="199" spans="1:28" ht="15.75" customHeight="1">
      <c r="A199" s="125"/>
      <c r="B199" s="125"/>
      <c r="C199" s="125"/>
      <c r="D199" s="4"/>
      <c r="E199" s="109" t="s">
        <v>9</v>
      </c>
      <c r="F199" s="110">
        <f>COUNTIF(H4:H151,E199)</f>
        <v>0</v>
      </c>
      <c r="G199" s="125"/>
      <c r="H199" s="125"/>
      <c r="I199" s="125"/>
      <c r="J199" s="125"/>
      <c r="K199" s="125"/>
      <c r="L199" s="125"/>
      <c r="M199" s="125"/>
      <c r="N199" s="125"/>
      <c r="O199" s="125"/>
      <c r="P199" s="4"/>
      <c r="Q199" s="125"/>
      <c r="R199" s="125"/>
      <c r="S199" s="125"/>
      <c r="T199" s="125"/>
      <c r="U199" s="125"/>
      <c r="V199" s="125"/>
      <c r="W199" s="125"/>
      <c r="X199" s="125"/>
      <c r="Y199" s="125"/>
      <c r="Z199" s="125"/>
      <c r="AA199" s="125"/>
      <c r="AB199" s="125"/>
    </row>
    <row r="200" spans="1:28" ht="15.75" customHeight="1">
      <c r="A200" s="125"/>
      <c r="B200" s="125"/>
      <c r="C200" s="125"/>
      <c r="D200" s="4"/>
      <c r="E200" s="109" t="s">
        <v>10</v>
      </c>
      <c r="F200" s="110">
        <f>COUNTIF(H4:H151,E200)</f>
        <v>134</v>
      </c>
      <c r="G200" s="125"/>
      <c r="H200" s="125"/>
      <c r="I200" s="125"/>
      <c r="J200" s="125"/>
      <c r="K200" s="125"/>
      <c r="L200" s="125"/>
      <c r="M200" s="125"/>
      <c r="N200" s="125"/>
      <c r="O200" s="125"/>
      <c r="P200" s="4"/>
      <c r="Q200" s="125"/>
      <c r="R200" s="125"/>
      <c r="S200" s="125"/>
      <c r="T200" s="125"/>
      <c r="U200" s="125"/>
      <c r="V200" s="125"/>
      <c r="W200" s="125"/>
      <c r="X200" s="125"/>
      <c r="Y200" s="125"/>
      <c r="Z200" s="125"/>
      <c r="AA200" s="125"/>
      <c r="AB200" s="125"/>
    </row>
    <row r="201" spans="1:28" ht="15.75" customHeight="1">
      <c r="A201" s="125"/>
      <c r="B201" s="125"/>
      <c r="C201" s="125"/>
      <c r="D201" s="4"/>
      <c r="E201" s="109" t="s">
        <v>6</v>
      </c>
      <c r="F201" s="110">
        <f>SUM(F197:F199)</f>
        <v>0</v>
      </c>
      <c r="G201" s="125"/>
      <c r="H201" s="125"/>
      <c r="I201" s="125"/>
      <c r="J201" s="125"/>
      <c r="K201" s="125"/>
      <c r="L201" s="125"/>
      <c r="M201" s="125"/>
      <c r="N201" s="125"/>
      <c r="O201" s="125"/>
      <c r="P201" s="4"/>
      <c r="Q201" s="125"/>
      <c r="R201" s="125"/>
      <c r="S201" s="125"/>
      <c r="T201" s="125"/>
      <c r="U201" s="125"/>
      <c r="V201" s="125"/>
      <c r="W201" s="125"/>
      <c r="X201" s="125"/>
      <c r="Y201" s="125"/>
      <c r="Z201" s="125"/>
      <c r="AA201" s="125"/>
      <c r="AB201" s="125"/>
    </row>
    <row r="202" spans="1:28" ht="15.75" customHeight="1">
      <c r="A202" s="125"/>
      <c r="B202" s="125"/>
      <c r="C202" s="125"/>
      <c r="D202" s="4"/>
      <c r="E202" s="109" t="s">
        <v>39</v>
      </c>
      <c r="F202" s="110">
        <f>SUM(F197:F200)</f>
        <v>134</v>
      </c>
      <c r="G202" s="125"/>
      <c r="H202" s="125"/>
      <c r="I202" s="125"/>
      <c r="J202" s="125"/>
      <c r="K202" s="125"/>
      <c r="L202" s="125"/>
      <c r="M202" s="125"/>
      <c r="N202" s="125"/>
      <c r="O202" s="125"/>
      <c r="P202" s="4"/>
      <c r="Q202" s="125"/>
      <c r="R202" s="125"/>
      <c r="S202" s="125"/>
      <c r="T202" s="125"/>
      <c r="U202" s="125"/>
      <c r="V202" s="125"/>
      <c r="W202" s="125"/>
      <c r="X202" s="125"/>
      <c r="Y202" s="125"/>
      <c r="Z202" s="125"/>
      <c r="AA202" s="125"/>
      <c r="AB202" s="125"/>
    </row>
    <row r="203" spans="1:28" ht="15.75" customHeight="1">
      <c r="A203" s="125"/>
      <c r="B203" s="125"/>
      <c r="C203" s="125"/>
      <c r="D203" s="4"/>
      <c r="G203" s="125"/>
      <c r="H203" s="125"/>
      <c r="I203" s="125"/>
      <c r="J203" s="125"/>
      <c r="K203" s="125"/>
      <c r="L203" s="125"/>
      <c r="M203" s="125"/>
      <c r="N203" s="125"/>
      <c r="O203" s="125"/>
      <c r="P203" s="4"/>
      <c r="Q203" s="125"/>
      <c r="R203" s="125"/>
      <c r="S203" s="125"/>
      <c r="T203" s="125"/>
      <c r="U203" s="125"/>
      <c r="V203" s="125"/>
      <c r="W203" s="125"/>
      <c r="X203" s="125"/>
      <c r="Y203" s="125"/>
      <c r="Z203" s="125"/>
      <c r="AA203" s="125"/>
      <c r="AB203" s="125"/>
    </row>
    <row r="204" spans="1:28" ht="15.75" customHeight="1">
      <c r="A204" s="125"/>
      <c r="B204" s="125"/>
      <c r="C204" s="125"/>
      <c r="D204" s="4"/>
      <c r="G204" s="125"/>
      <c r="H204" s="125"/>
      <c r="I204" s="125"/>
      <c r="J204" s="125"/>
      <c r="K204" s="125"/>
      <c r="L204" s="125"/>
      <c r="M204" s="125"/>
      <c r="N204" s="125"/>
      <c r="O204" s="125"/>
      <c r="P204" s="4"/>
      <c r="Q204" s="125"/>
      <c r="R204" s="125"/>
      <c r="S204" s="125"/>
      <c r="T204" s="125"/>
      <c r="U204" s="125"/>
      <c r="V204" s="125"/>
      <c r="W204" s="125"/>
      <c r="X204" s="125"/>
      <c r="Y204" s="125"/>
      <c r="Z204" s="125"/>
      <c r="AA204" s="125"/>
      <c r="AB204" s="125"/>
    </row>
    <row r="205" spans="1:28" ht="15.75" customHeight="1">
      <c r="A205" s="125"/>
      <c r="B205" s="125"/>
      <c r="C205" s="125"/>
      <c r="D205" s="4"/>
      <c r="E205" s="231" t="s">
        <v>131</v>
      </c>
      <c r="F205" s="224"/>
      <c r="G205" s="125"/>
      <c r="H205" s="125"/>
      <c r="I205" s="125"/>
      <c r="J205" s="125"/>
      <c r="K205" s="125"/>
      <c r="L205" s="125"/>
      <c r="M205" s="125"/>
      <c r="N205" s="125"/>
      <c r="O205" s="125"/>
      <c r="P205" s="4"/>
      <c r="Q205" s="125"/>
      <c r="R205" s="125"/>
      <c r="S205" s="125"/>
      <c r="T205" s="125"/>
      <c r="U205" s="125"/>
      <c r="V205" s="125"/>
      <c r="W205" s="125"/>
      <c r="X205" s="125"/>
      <c r="Y205" s="125"/>
      <c r="Z205" s="125"/>
      <c r="AA205" s="125"/>
      <c r="AB205" s="125"/>
    </row>
    <row r="206" spans="1:28" ht="15.75" customHeight="1">
      <c r="A206" s="125"/>
      <c r="B206" s="125"/>
      <c r="C206" s="125"/>
      <c r="D206" s="4"/>
      <c r="E206" s="109" t="s">
        <v>7</v>
      </c>
      <c r="F206" s="110">
        <f>COUNTIF(I4:I151,E206)</f>
        <v>0</v>
      </c>
      <c r="G206" s="125"/>
      <c r="H206" s="125"/>
      <c r="I206" s="125"/>
      <c r="J206" s="125"/>
      <c r="K206" s="125"/>
      <c r="L206" s="125"/>
      <c r="M206" s="125"/>
      <c r="N206" s="125"/>
      <c r="O206" s="125"/>
      <c r="P206" s="4"/>
      <c r="Q206" s="125"/>
      <c r="R206" s="125"/>
      <c r="S206" s="125"/>
      <c r="T206" s="125"/>
      <c r="U206" s="125"/>
      <c r="V206" s="125"/>
      <c r="W206" s="125"/>
      <c r="X206" s="125"/>
      <c r="Y206" s="125"/>
      <c r="Z206" s="125"/>
      <c r="AA206" s="125"/>
      <c r="AB206" s="125"/>
    </row>
    <row r="207" spans="1:28" ht="15.75" customHeight="1">
      <c r="A207" s="125"/>
      <c r="B207" s="125"/>
      <c r="C207" s="125"/>
      <c r="D207" s="4"/>
      <c r="E207" s="109" t="s">
        <v>8</v>
      </c>
      <c r="F207" s="110">
        <f>COUNTIF(I4:I151,E207)</f>
        <v>0</v>
      </c>
      <c r="G207" s="125"/>
      <c r="H207" s="125"/>
      <c r="I207" s="125"/>
      <c r="J207" s="125"/>
      <c r="K207" s="125"/>
      <c r="L207" s="125"/>
      <c r="M207" s="125"/>
      <c r="N207" s="125"/>
      <c r="O207" s="125"/>
      <c r="P207" s="4"/>
      <c r="Q207" s="125"/>
      <c r="R207" s="125"/>
      <c r="S207" s="125"/>
      <c r="T207" s="125"/>
      <c r="U207" s="125"/>
      <c r="V207" s="125"/>
      <c r="W207" s="125"/>
      <c r="X207" s="125"/>
      <c r="Y207" s="125"/>
      <c r="Z207" s="125"/>
      <c r="AA207" s="125"/>
      <c r="AB207" s="125"/>
    </row>
    <row r="208" spans="1:28" ht="15.75" customHeight="1">
      <c r="A208" s="125"/>
      <c r="B208" s="125"/>
      <c r="C208" s="125"/>
      <c r="D208" s="4"/>
      <c r="E208" s="109" t="s">
        <v>9</v>
      </c>
      <c r="F208" s="110">
        <f>COUNTIF(H15:H203,E208)</f>
        <v>0</v>
      </c>
      <c r="G208" s="125"/>
      <c r="H208" s="125"/>
      <c r="I208" s="125"/>
      <c r="J208" s="125"/>
      <c r="K208" s="125"/>
      <c r="L208" s="125"/>
      <c r="M208" s="125"/>
      <c r="N208" s="125"/>
      <c r="O208" s="125"/>
      <c r="P208" s="4"/>
      <c r="Q208" s="125"/>
      <c r="R208" s="125"/>
      <c r="S208" s="125"/>
      <c r="T208" s="125"/>
      <c r="U208" s="125"/>
      <c r="V208" s="125"/>
      <c r="W208" s="125"/>
      <c r="X208" s="125"/>
      <c r="Y208" s="125"/>
      <c r="Z208" s="125"/>
      <c r="AA208" s="125"/>
      <c r="AB208" s="125"/>
    </row>
    <row r="209" spans="1:28" ht="15.75" customHeight="1">
      <c r="A209" s="125"/>
      <c r="B209" s="125"/>
      <c r="C209" s="125"/>
      <c r="D209" s="4"/>
      <c r="E209" s="109" t="s">
        <v>10</v>
      </c>
      <c r="F209" s="110">
        <f>COUNTIF(H4:H151,E209)</f>
        <v>134</v>
      </c>
      <c r="G209" s="125"/>
      <c r="H209" s="125"/>
      <c r="I209" s="125"/>
      <c r="J209" s="125"/>
      <c r="K209" s="125"/>
      <c r="L209" s="125"/>
      <c r="M209" s="125"/>
      <c r="N209" s="125"/>
      <c r="O209" s="125"/>
      <c r="P209" s="4"/>
      <c r="Q209" s="125"/>
      <c r="R209" s="125"/>
      <c r="S209" s="125"/>
      <c r="T209" s="125"/>
      <c r="U209" s="125"/>
      <c r="V209" s="125"/>
      <c r="W209" s="125"/>
      <c r="X209" s="125"/>
      <c r="Y209" s="125"/>
      <c r="Z209" s="125"/>
      <c r="AA209" s="125"/>
      <c r="AB209" s="125"/>
    </row>
    <row r="210" spans="1:28" ht="15.75" customHeight="1">
      <c r="A210" s="125"/>
      <c r="B210" s="125"/>
      <c r="C210" s="125"/>
      <c r="D210" s="4"/>
      <c r="E210" s="109" t="s">
        <v>6</v>
      </c>
      <c r="F210" s="110">
        <f>SUM(F206:F208)</f>
        <v>0</v>
      </c>
      <c r="G210" s="125"/>
      <c r="H210" s="125"/>
      <c r="I210" s="125"/>
      <c r="J210" s="125"/>
      <c r="K210" s="125"/>
      <c r="L210" s="125"/>
      <c r="M210" s="125"/>
      <c r="N210" s="125"/>
      <c r="O210" s="125"/>
      <c r="P210" s="4"/>
      <c r="Q210" s="125"/>
      <c r="R210" s="125"/>
      <c r="S210" s="125"/>
      <c r="T210" s="125"/>
      <c r="U210" s="125"/>
      <c r="V210" s="125"/>
      <c r="W210" s="125"/>
      <c r="X210" s="125"/>
      <c r="Y210" s="125"/>
      <c r="Z210" s="125"/>
      <c r="AA210" s="125"/>
      <c r="AB210" s="125"/>
    </row>
    <row r="211" spans="1:28" ht="15.75" customHeight="1">
      <c r="A211" s="125"/>
      <c r="B211" s="125"/>
      <c r="C211" s="125"/>
      <c r="D211" s="4"/>
      <c r="E211" s="109" t="s">
        <v>39</v>
      </c>
      <c r="F211" s="110">
        <f>SUM(F206:F209)</f>
        <v>134</v>
      </c>
      <c r="G211" s="125"/>
      <c r="H211" s="125"/>
      <c r="I211" s="125"/>
      <c r="J211" s="125"/>
      <c r="K211" s="125"/>
      <c r="L211" s="125"/>
      <c r="M211" s="125"/>
      <c r="N211" s="125"/>
      <c r="O211" s="125"/>
      <c r="P211" s="4"/>
      <c r="Q211" s="125"/>
      <c r="R211" s="125"/>
      <c r="S211" s="125"/>
      <c r="T211" s="125"/>
      <c r="U211" s="125"/>
      <c r="V211" s="125"/>
      <c r="W211" s="125"/>
      <c r="X211" s="125"/>
      <c r="Y211" s="125"/>
      <c r="Z211" s="125"/>
      <c r="AA211" s="125"/>
      <c r="AB211" s="125"/>
    </row>
    <row r="212" spans="1:28" ht="15.75" customHeight="1">
      <c r="A212" s="125"/>
      <c r="B212" s="125"/>
      <c r="C212" s="125"/>
      <c r="D212" s="4"/>
      <c r="G212" s="125"/>
      <c r="H212" s="125"/>
      <c r="I212" s="125"/>
      <c r="J212" s="125"/>
      <c r="K212" s="125"/>
      <c r="L212" s="125"/>
      <c r="M212" s="125"/>
      <c r="N212" s="125"/>
      <c r="O212" s="125"/>
      <c r="P212" s="4"/>
      <c r="Q212" s="125"/>
      <c r="R212" s="125"/>
      <c r="S212" s="125"/>
      <c r="T212" s="125"/>
      <c r="U212" s="125"/>
      <c r="V212" s="125"/>
      <c r="W212" s="125"/>
      <c r="X212" s="125"/>
      <c r="Y212" s="125"/>
      <c r="Z212" s="125"/>
      <c r="AA212" s="125"/>
      <c r="AB212" s="125"/>
    </row>
    <row r="213" spans="1:28" ht="15.75" customHeight="1">
      <c r="A213" s="125"/>
      <c r="B213" s="125"/>
      <c r="C213" s="167" t="s">
        <v>488</v>
      </c>
      <c r="D213" s="4"/>
      <c r="E213" s="231" t="s">
        <v>132</v>
      </c>
      <c r="F213" s="224"/>
      <c r="G213" s="125"/>
      <c r="H213" s="125"/>
      <c r="I213" s="125"/>
      <c r="J213" s="125"/>
      <c r="K213" s="125"/>
      <c r="L213" s="125"/>
      <c r="M213" s="125"/>
      <c r="N213" s="125"/>
      <c r="O213" s="125"/>
      <c r="P213" s="4"/>
      <c r="Q213" s="125"/>
      <c r="R213" s="125"/>
      <c r="S213" s="125"/>
      <c r="T213" s="125"/>
      <c r="U213" s="125"/>
      <c r="V213" s="125"/>
      <c r="W213" s="125"/>
      <c r="X213" s="125"/>
      <c r="Y213" s="125"/>
      <c r="Z213" s="125"/>
      <c r="AA213" s="125"/>
      <c r="AB213" s="125"/>
    </row>
    <row r="214" spans="1:28" ht="15.75" customHeight="1">
      <c r="A214" s="125"/>
      <c r="B214" s="125"/>
      <c r="C214" s="125"/>
      <c r="D214" s="4"/>
      <c r="E214" s="109" t="s">
        <v>7</v>
      </c>
      <c r="F214" s="110">
        <f>COUNTIF(J4:J151,E214)</f>
        <v>0</v>
      </c>
      <c r="G214" s="125"/>
      <c r="H214" s="125"/>
      <c r="I214" s="125"/>
      <c r="J214" s="125"/>
      <c r="K214" s="125"/>
      <c r="L214" s="125"/>
      <c r="M214" s="125"/>
      <c r="N214" s="125"/>
      <c r="O214" s="125"/>
      <c r="P214" s="4"/>
      <c r="Q214" s="125"/>
      <c r="R214" s="125"/>
      <c r="S214" s="125"/>
      <c r="T214" s="125"/>
      <c r="U214" s="125"/>
      <c r="V214" s="125"/>
      <c r="W214" s="125"/>
      <c r="X214" s="125"/>
      <c r="Y214" s="125"/>
      <c r="Z214" s="125"/>
      <c r="AA214" s="125"/>
      <c r="AB214" s="125"/>
    </row>
    <row r="215" spans="1:28" ht="15.75" customHeight="1">
      <c r="A215" s="125"/>
      <c r="B215" s="125"/>
      <c r="C215" s="125"/>
      <c r="D215" s="4"/>
      <c r="E215" s="109" t="s">
        <v>8</v>
      </c>
      <c r="F215" s="110">
        <f>COUNTIF(J4:J151,E215)</f>
        <v>0</v>
      </c>
      <c r="G215" s="125"/>
      <c r="H215" s="125"/>
      <c r="I215" s="125"/>
      <c r="J215" s="125"/>
      <c r="K215" s="125"/>
      <c r="L215" s="125"/>
      <c r="M215" s="125"/>
      <c r="N215" s="125"/>
      <c r="O215" s="125"/>
      <c r="P215" s="4"/>
      <c r="Q215" s="125"/>
      <c r="R215" s="125"/>
      <c r="S215" s="125"/>
      <c r="T215" s="125"/>
      <c r="U215" s="125"/>
      <c r="V215" s="125"/>
      <c r="W215" s="125"/>
      <c r="X215" s="125"/>
      <c r="Y215" s="125"/>
      <c r="Z215" s="125"/>
      <c r="AA215" s="125"/>
      <c r="AB215" s="125"/>
    </row>
    <row r="216" spans="1:28" ht="15.75" customHeight="1">
      <c r="A216" s="125"/>
      <c r="B216" s="125"/>
      <c r="C216" s="125"/>
      <c r="D216" s="4"/>
      <c r="E216" s="109" t="s">
        <v>9</v>
      </c>
      <c r="F216" s="110">
        <f>COUNTIF(J4:J151,E216)</f>
        <v>0</v>
      </c>
      <c r="G216" s="125"/>
      <c r="H216" s="125"/>
      <c r="I216" s="125"/>
      <c r="J216" s="125"/>
      <c r="K216" s="125"/>
      <c r="L216" s="125"/>
      <c r="M216" s="125"/>
      <c r="N216" s="125"/>
      <c r="O216" s="125"/>
      <c r="P216" s="4"/>
      <c r="Q216" s="125"/>
      <c r="R216" s="125"/>
      <c r="S216" s="125"/>
      <c r="T216" s="125"/>
      <c r="U216" s="125"/>
      <c r="V216" s="125"/>
      <c r="W216" s="125"/>
      <c r="X216" s="125"/>
      <c r="Y216" s="125"/>
      <c r="Z216" s="125"/>
      <c r="AA216" s="125"/>
      <c r="AB216" s="125"/>
    </row>
    <row r="217" spans="1:28" ht="15.75" customHeight="1">
      <c r="A217" s="125"/>
      <c r="B217" s="125"/>
      <c r="C217" s="125"/>
      <c r="D217" s="4"/>
      <c r="E217" s="109" t="s">
        <v>10</v>
      </c>
      <c r="F217" s="110">
        <f>COUNTIF(J4:J151,E217)</f>
        <v>134</v>
      </c>
      <c r="G217" s="125"/>
      <c r="H217" s="125"/>
      <c r="I217" s="125"/>
      <c r="J217" s="125"/>
      <c r="K217" s="125"/>
      <c r="L217" s="125"/>
      <c r="M217" s="125"/>
      <c r="N217" s="125"/>
      <c r="O217" s="125"/>
      <c r="P217" s="4"/>
      <c r="Q217" s="125"/>
      <c r="R217" s="125"/>
      <c r="S217" s="125"/>
      <c r="T217" s="125"/>
      <c r="U217" s="125"/>
      <c r="V217" s="125"/>
      <c r="W217" s="125"/>
      <c r="X217" s="125"/>
      <c r="Y217" s="125"/>
      <c r="Z217" s="125"/>
      <c r="AA217" s="125"/>
      <c r="AB217" s="125"/>
    </row>
    <row r="218" spans="1:28" ht="15.75" customHeight="1">
      <c r="A218" s="125"/>
      <c r="B218" s="125"/>
      <c r="C218" s="125"/>
      <c r="D218" s="4"/>
      <c r="E218" s="109" t="s">
        <v>6</v>
      </c>
      <c r="F218" s="110">
        <f>SUM(F214:F216)</f>
        <v>0</v>
      </c>
      <c r="G218" s="125"/>
      <c r="H218" s="125"/>
      <c r="I218" s="125"/>
      <c r="J218" s="125"/>
      <c r="K218" s="125"/>
      <c r="L218" s="125"/>
      <c r="M218" s="125"/>
      <c r="N218" s="125"/>
      <c r="O218" s="125"/>
      <c r="P218" s="4"/>
      <c r="Q218" s="125"/>
      <c r="R218" s="125"/>
      <c r="S218" s="125"/>
      <c r="T218" s="125"/>
      <c r="U218" s="125"/>
      <c r="V218" s="125"/>
      <c r="W218" s="125"/>
      <c r="X218" s="125"/>
      <c r="Y218" s="125"/>
      <c r="Z218" s="125"/>
      <c r="AA218" s="125"/>
      <c r="AB218" s="125"/>
    </row>
    <row r="219" spans="1:28" ht="15.75" customHeight="1">
      <c r="A219" s="125"/>
      <c r="B219" s="125"/>
      <c r="C219" s="125"/>
      <c r="D219" s="4"/>
      <c r="E219" s="109" t="s">
        <v>39</v>
      </c>
      <c r="F219" s="110">
        <f>SUM(F214:F217)</f>
        <v>134</v>
      </c>
      <c r="G219" s="125"/>
      <c r="H219" s="125"/>
      <c r="I219" s="125"/>
      <c r="J219" s="125"/>
      <c r="K219" s="125"/>
      <c r="L219" s="125"/>
      <c r="M219" s="125"/>
      <c r="N219" s="125"/>
      <c r="O219" s="125"/>
      <c r="P219" s="4"/>
      <c r="Q219" s="125"/>
      <c r="R219" s="125"/>
      <c r="S219" s="125"/>
      <c r="T219" s="125"/>
      <c r="U219" s="125"/>
      <c r="V219" s="125"/>
      <c r="W219" s="125"/>
      <c r="X219" s="125"/>
      <c r="Y219" s="125"/>
      <c r="Z219" s="125"/>
      <c r="AA219" s="125"/>
      <c r="AB219" s="125"/>
    </row>
    <row r="220" spans="1:28" ht="15.75" customHeight="1">
      <c r="A220" s="125"/>
      <c r="B220" s="125"/>
      <c r="C220" s="125"/>
      <c r="D220" s="4"/>
      <c r="G220" s="125"/>
      <c r="H220" s="125"/>
      <c r="I220" s="125"/>
      <c r="J220" s="125"/>
      <c r="K220" s="125"/>
      <c r="L220" s="125"/>
      <c r="M220" s="125"/>
      <c r="N220" s="125"/>
      <c r="O220" s="125"/>
      <c r="P220" s="4"/>
      <c r="Q220" s="125"/>
      <c r="R220" s="125"/>
      <c r="S220" s="125"/>
      <c r="T220" s="125"/>
      <c r="U220" s="125"/>
      <c r="V220" s="125"/>
      <c r="W220" s="125"/>
      <c r="X220" s="125"/>
      <c r="Y220" s="125"/>
      <c r="Z220" s="125"/>
      <c r="AA220" s="125"/>
      <c r="AB220" s="125"/>
    </row>
    <row r="221" spans="1:28" ht="15.75" customHeight="1">
      <c r="A221" s="125"/>
      <c r="B221" s="125"/>
      <c r="C221" s="125"/>
      <c r="D221" s="4"/>
      <c r="E221" s="231" t="s">
        <v>33</v>
      </c>
      <c r="F221" s="224"/>
      <c r="G221" s="125"/>
      <c r="H221" s="125"/>
      <c r="I221" s="125"/>
      <c r="J221" s="125"/>
      <c r="K221" s="125"/>
      <c r="L221" s="125"/>
      <c r="M221" s="125"/>
      <c r="N221" s="125"/>
      <c r="O221" s="125"/>
      <c r="P221" s="4"/>
      <c r="Q221" s="125"/>
      <c r="R221" s="125"/>
      <c r="S221" s="125"/>
      <c r="T221" s="125"/>
      <c r="U221" s="125"/>
      <c r="V221" s="125"/>
      <c r="W221" s="125"/>
      <c r="X221" s="125"/>
      <c r="Y221" s="125"/>
      <c r="Z221" s="125"/>
      <c r="AA221" s="125"/>
      <c r="AB221" s="125"/>
    </row>
    <row r="222" spans="1:28" ht="15.75" customHeight="1">
      <c r="A222" s="125"/>
      <c r="B222" s="125"/>
      <c r="C222" s="125"/>
      <c r="D222" s="4"/>
      <c r="E222" s="109" t="s">
        <v>7</v>
      </c>
      <c r="F222" s="110">
        <f t="shared" ref="F222:F227" si="0">SUM(F197,F206,F214)</f>
        <v>0</v>
      </c>
      <c r="G222" s="125"/>
      <c r="H222" s="125"/>
      <c r="I222" s="125"/>
      <c r="J222" s="125"/>
      <c r="K222" s="125"/>
      <c r="L222" s="125"/>
      <c r="M222" s="125"/>
      <c r="N222" s="125"/>
      <c r="O222" s="125"/>
      <c r="P222" s="4"/>
      <c r="Q222" s="125"/>
      <c r="R222" s="125"/>
      <c r="S222" s="125"/>
      <c r="T222" s="125"/>
      <c r="U222" s="125"/>
      <c r="V222" s="125"/>
      <c r="W222" s="125"/>
      <c r="X222" s="125"/>
      <c r="Y222" s="125"/>
      <c r="Z222" s="125"/>
      <c r="AA222" s="125"/>
      <c r="AB222" s="125"/>
    </row>
    <row r="223" spans="1:28" ht="15.75" customHeight="1">
      <c r="A223" s="125"/>
      <c r="B223" s="125"/>
      <c r="C223" s="125"/>
      <c r="D223" s="4"/>
      <c r="E223" s="109" t="s">
        <v>8</v>
      </c>
      <c r="F223" s="110">
        <f t="shared" si="0"/>
        <v>0</v>
      </c>
      <c r="G223" s="125"/>
      <c r="H223" s="125"/>
      <c r="I223" s="125"/>
      <c r="J223" s="125"/>
      <c r="K223" s="125"/>
      <c r="L223" s="125"/>
      <c r="M223" s="125"/>
      <c r="N223" s="125"/>
      <c r="O223" s="125"/>
      <c r="P223" s="4"/>
      <c r="Q223" s="125"/>
      <c r="R223" s="125"/>
      <c r="S223" s="125"/>
      <c r="T223" s="125"/>
      <c r="U223" s="125"/>
      <c r="V223" s="125"/>
      <c r="W223" s="125"/>
      <c r="X223" s="125"/>
      <c r="Y223" s="125"/>
      <c r="Z223" s="125"/>
      <c r="AA223" s="125"/>
      <c r="AB223" s="125"/>
    </row>
    <row r="224" spans="1:28" ht="15.75" customHeight="1">
      <c r="A224" s="125"/>
      <c r="B224" s="125"/>
      <c r="C224" s="125"/>
      <c r="D224" s="4"/>
      <c r="E224" s="109" t="s">
        <v>9</v>
      </c>
      <c r="F224" s="110">
        <f t="shared" si="0"/>
        <v>0</v>
      </c>
      <c r="G224" s="125"/>
      <c r="H224" s="125"/>
      <c r="I224" s="125"/>
      <c r="J224" s="125"/>
      <c r="K224" s="125"/>
      <c r="L224" s="125"/>
      <c r="M224" s="125"/>
      <c r="N224" s="125"/>
      <c r="O224" s="125"/>
      <c r="P224" s="4"/>
      <c r="Q224" s="125"/>
      <c r="R224" s="125"/>
      <c r="S224" s="125"/>
      <c r="T224" s="125"/>
      <c r="U224" s="125"/>
      <c r="V224" s="125"/>
      <c r="W224" s="125"/>
      <c r="X224" s="125"/>
      <c r="Y224" s="125"/>
      <c r="Z224" s="125"/>
      <c r="AA224" s="125"/>
      <c r="AB224" s="125"/>
    </row>
    <row r="225" spans="1:28" ht="15.75" customHeight="1">
      <c r="A225" s="125"/>
      <c r="B225" s="125"/>
      <c r="C225" s="125"/>
      <c r="D225" s="4"/>
      <c r="E225" s="109" t="s">
        <v>10</v>
      </c>
      <c r="F225" s="110">
        <f t="shared" si="0"/>
        <v>402</v>
      </c>
      <c r="G225" s="125"/>
      <c r="H225" s="125"/>
      <c r="I225" s="125"/>
      <c r="J225" s="125"/>
      <c r="K225" s="125"/>
      <c r="L225" s="125"/>
      <c r="M225" s="125"/>
      <c r="N225" s="125"/>
      <c r="O225" s="125"/>
      <c r="P225" s="4"/>
      <c r="Q225" s="125"/>
      <c r="R225" s="125"/>
      <c r="S225" s="125"/>
      <c r="T225" s="125"/>
      <c r="U225" s="125"/>
      <c r="V225" s="125"/>
      <c r="W225" s="125"/>
      <c r="X225" s="125"/>
      <c r="Y225" s="125"/>
      <c r="Z225" s="125"/>
      <c r="AA225" s="125"/>
      <c r="AB225" s="125"/>
    </row>
    <row r="226" spans="1:28" ht="15.75" customHeight="1">
      <c r="A226" s="125"/>
      <c r="B226" s="125"/>
      <c r="C226" s="125"/>
      <c r="D226" s="4"/>
      <c r="E226" s="109" t="s">
        <v>6</v>
      </c>
      <c r="F226" s="110">
        <f t="shared" si="0"/>
        <v>0</v>
      </c>
      <c r="G226" s="125"/>
      <c r="H226" s="125"/>
      <c r="I226" s="125"/>
      <c r="J226" s="125"/>
      <c r="K226" s="125"/>
      <c r="L226" s="125"/>
      <c r="M226" s="125"/>
      <c r="N226" s="125"/>
      <c r="O226" s="125"/>
      <c r="P226" s="4"/>
      <c r="Q226" s="125"/>
      <c r="R226" s="125"/>
      <c r="S226" s="125"/>
      <c r="T226" s="125"/>
      <c r="U226" s="125"/>
      <c r="V226" s="125"/>
      <c r="W226" s="125"/>
      <c r="X226" s="125"/>
      <c r="Y226" s="125"/>
      <c r="Z226" s="125"/>
      <c r="AA226" s="125"/>
      <c r="AB226" s="125"/>
    </row>
    <row r="227" spans="1:28" ht="15.75" customHeight="1">
      <c r="A227" s="125"/>
      <c r="B227" s="125"/>
      <c r="C227" s="125"/>
      <c r="D227" s="4"/>
      <c r="E227" s="109" t="s">
        <v>39</v>
      </c>
      <c r="F227" s="110">
        <f t="shared" si="0"/>
        <v>402</v>
      </c>
      <c r="G227" s="125"/>
      <c r="H227" s="125"/>
      <c r="I227" s="125"/>
      <c r="J227" s="125"/>
      <c r="K227" s="125"/>
      <c r="L227" s="125"/>
      <c r="M227" s="125"/>
      <c r="N227" s="125"/>
      <c r="O227" s="125"/>
      <c r="P227" s="4"/>
      <c r="Q227" s="125"/>
      <c r="R227" s="125"/>
      <c r="S227" s="125"/>
      <c r="T227" s="125"/>
      <c r="U227" s="125"/>
      <c r="V227" s="125"/>
      <c r="W227" s="125"/>
      <c r="X227" s="125"/>
      <c r="Y227" s="125"/>
      <c r="Z227" s="125"/>
      <c r="AA227" s="125"/>
      <c r="AB227" s="125"/>
    </row>
    <row r="228" spans="1:28" ht="15.75" customHeight="1">
      <c r="A228" s="125"/>
      <c r="B228" s="125"/>
      <c r="C228" s="125"/>
      <c r="D228" s="4"/>
      <c r="E228" s="125"/>
      <c r="F228" s="125"/>
      <c r="G228" s="125"/>
      <c r="H228" s="125"/>
      <c r="I228" s="125"/>
      <c r="J228" s="125"/>
      <c r="K228" s="125"/>
      <c r="L228" s="125"/>
      <c r="M228" s="125"/>
      <c r="N228" s="125"/>
      <c r="O228" s="125"/>
      <c r="P228" s="4"/>
      <c r="Q228" s="125"/>
      <c r="R228" s="125"/>
      <c r="S228" s="125"/>
      <c r="T228" s="125"/>
      <c r="U228" s="125"/>
      <c r="V228" s="125"/>
      <c r="W228" s="125"/>
      <c r="X228" s="125"/>
      <c r="Y228" s="125"/>
      <c r="Z228" s="125"/>
      <c r="AA228" s="125"/>
      <c r="AB228" s="125"/>
    </row>
    <row r="229" spans="1:28" ht="15.75" customHeight="1">
      <c r="A229" s="125"/>
      <c r="B229" s="125"/>
      <c r="C229" s="125"/>
      <c r="D229" s="4"/>
      <c r="E229" s="125"/>
      <c r="F229" s="125"/>
      <c r="G229" s="125"/>
      <c r="H229" s="125"/>
      <c r="I229" s="125"/>
      <c r="J229" s="125"/>
      <c r="K229" s="125"/>
      <c r="L229" s="125"/>
      <c r="M229" s="125"/>
      <c r="N229" s="125"/>
      <c r="O229" s="125"/>
      <c r="P229" s="4"/>
      <c r="Q229" s="125"/>
      <c r="R229" s="125"/>
      <c r="S229" s="125"/>
      <c r="T229" s="125"/>
      <c r="U229" s="125"/>
      <c r="V229" s="125"/>
      <c r="W229" s="125"/>
      <c r="X229" s="125"/>
      <c r="Y229" s="125"/>
      <c r="Z229" s="125"/>
      <c r="AA229" s="125"/>
      <c r="AB229" s="125"/>
    </row>
    <row r="230" spans="1:28" ht="15.75" customHeight="1">
      <c r="A230" s="125"/>
      <c r="B230" s="125"/>
      <c r="C230" s="125"/>
      <c r="D230" s="4"/>
      <c r="E230" s="125"/>
      <c r="F230" s="125"/>
      <c r="G230" s="125"/>
      <c r="H230" s="125"/>
      <c r="I230" s="125"/>
      <c r="J230" s="125"/>
      <c r="K230" s="125"/>
      <c r="L230" s="125"/>
      <c r="M230" s="125"/>
      <c r="N230" s="125"/>
      <c r="O230" s="125"/>
      <c r="P230" s="4"/>
      <c r="Q230" s="125"/>
      <c r="R230" s="125"/>
      <c r="S230" s="125"/>
      <c r="T230" s="125"/>
      <c r="U230" s="125"/>
      <c r="V230" s="125"/>
      <c r="W230" s="125"/>
      <c r="X230" s="125"/>
      <c r="Y230" s="125"/>
      <c r="Z230" s="125"/>
      <c r="AA230" s="125"/>
      <c r="AB230" s="125"/>
    </row>
    <row r="231" spans="1:28" ht="15.75" customHeight="1">
      <c r="A231" s="125"/>
      <c r="B231" s="125"/>
      <c r="C231" s="125"/>
      <c r="D231" s="4"/>
      <c r="E231" s="125"/>
      <c r="F231" s="125"/>
      <c r="G231" s="125"/>
      <c r="H231" s="125"/>
      <c r="I231" s="125"/>
      <c r="J231" s="125"/>
      <c r="K231" s="125"/>
      <c r="L231" s="125"/>
      <c r="M231" s="125"/>
      <c r="N231" s="125"/>
      <c r="O231" s="125"/>
      <c r="P231" s="4"/>
      <c r="Q231" s="125"/>
      <c r="R231" s="125"/>
      <c r="S231" s="125"/>
      <c r="T231" s="125"/>
      <c r="U231" s="125"/>
      <c r="V231" s="125"/>
      <c r="W231" s="125"/>
      <c r="X231" s="125"/>
      <c r="Y231" s="125"/>
      <c r="Z231" s="125"/>
      <c r="AA231" s="125"/>
      <c r="AB231" s="125"/>
    </row>
    <row r="232" spans="1:28" ht="15.75" customHeight="1">
      <c r="A232" s="125"/>
      <c r="B232" s="125"/>
      <c r="C232" s="125"/>
      <c r="D232" s="4"/>
      <c r="E232" s="125"/>
      <c r="F232" s="125"/>
      <c r="G232" s="125"/>
      <c r="H232" s="125"/>
      <c r="I232" s="125"/>
      <c r="J232" s="125"/>
      <c r="K232" s="125"/>
      <c r="L232" s="125"/>
      <c r="M232" s="125"/>
      <c r="N232" s="125"/>
      <c r="O232" s="125"/>
      <c r="P232" s="4"/>
      <c r="Q232" s="125"/>
      <c r="R232" s="125"/>
      <c r="S232" s="125"/>
      <c r="T232" s="125"/>
      <c r="U232" s="125"/>
      <c r="V232" s="125"/>
      <c r="W232" s="125"/>
      <c r="X232" s="125"/>
      <c r="Y232" s="125"/>
      <c r="Z232" s="125"/>
      <c r="AA232" s="125"/>
      <c r="AB232" s="125"/>
    </row>
    <row r="233" spans="1:28" ht="15.75" customHeight="1">
      <c r="A233" s="125"/>
      <c r="B233" s="125"/>
      <c r="C233" s="125"/>
      <c r="D233" s="4"/>
      <c r="E233" s="125"/>
      <c r="F233" s="125"/>
      <c r="G233" s="125"/>
      <c r="H233" s="125"/>
      <c r="I233" s="125"/>
      <c r="J233" s="125"/>
      <c r="K233" s="125"/>
      <c r="L233" s="125"/>
      <c r="M233" s="125"/>
      <c r="N233" s="125"/>
      <c r="O233" s="125"/>
      <c r="P233" s="4"/>
      <c r="Q233" s="125"/>
      <c r="R233" s="125"/>
      <c r="S233" s="125"/>
      <c r="T233" s="125"/>
      <c r="U233" s="125"/>
      <c r="V233" s="125"/>
      <c r="W233" s="125"/>
      <c r="X233" s="125"/>
      <c r="Y233" s="125"/>
      <c r="Z233" s="125"/>
      <c r="AA233" s="125"/>
      <c r="AB233" s="125"/>
    </row>
    <row r="234" spans="1:28" ht="15.75" customHeight="1">
      <c r="A234" s="125"/>
      <c r="B234" s="125"/>
      <c r="C234" s="125"/>
      <c r="D234" s="4"/>
      <c r="E234" s="125"/>
      <c r="F234" s="125"/>
      <c r="G234" s="125"/>
      <c r="H234" s="125"/>
      <c r="I234" s="125"/>
      <c r="J234" s="125"/>
      <c r="K234" s="125"/>
      <c r="L234" s="125"/>
      <c r="M234" s="125"/>
      <c r="N234" s="125"/>
      <c r="O234" s="125"/>
      <c r="P234" s="4"/>
      <c r="Q234" s="125"/>
      <c r="R234" s="125"/>
      <c r="S234" s="125"/>
      <c r="T234" s="125"/>
      <c r="U234" s="125"/>
      <c r="V234" s="125"/>
      <c r="W234" s="125"/>
      <c r="X234" s="125"/>
      <c r="Y234" s="125"/>
      <c r="Z234" s="125"/>
      <c r="AA234" s="125"/>
      <c r="AB234" s="125"/>
    </row>
    <row r="235" spans="1:28" ht="15.75" customHeight="1">
      <c r="A235" s="125"/>
      <c r="B235" s="125"/>
      <c r="C235" s="125"/>
      <c r="D235" s="4"/>
      <c r="E235" s="125"/>
      <c r="F235" s="125"/>
      <c r="G235" s="125"/>
      <c r="H235" s="125"/>
      <c r="I235" s="125"/>
      <c r="J235" s="125"/>
      <c r="K235" s="125"/>
      <c r="L235" s="125"/>
      <c r="M235" s="125"/>
      <c r="N235" s="125"/>
      <c r="O235" s="125"/>
      <c r="P235" s="4"/>
      <c r="Q235" s="125"/>
      <c r="R235" s="125"/>
      <c r="S235" s="125"/>
      <c r="T235" s="125"/>
      <c r="U235" s="125"/>
      <c r="V235" s="125"/>
      <c r="W235" s="125"/>
      <c r="X235" s="125"/>
      <c r="Y235" s="125"/>
      <c r="Z235" s="125"/>
      <c r="AA235" s="125"/>
      <c r="AB235" s="125"/>
    </row>
    <row r="236" spans="1:28" ht="15.75" customHeight="1">
      <c r="A236" s="125"/>
      <c r="B236" s="125"/>
      <c r="C236" s="125"/>
      <c r="D236" s="4"/>
      <c r="E236" s="125"/>
      <c r="F236" s="125"/>
      <c r="G236" s="125"/>
      <c r="H236" s="125"/>
      <c r="I236" s="125"/>
      <c r="J236" s="125"/>
      <c r="K236" s="125"/>
      <c r="L236" s="125"/>
      <c r="M236" s="125"/>
      <c r="N236" s="125"/>
      <c r="O236" s="125"/>
      <c r="P236" s="4"/>
      <c r="Q236" s="125"/>
      <c r="R236" s="125"/>
      <c r="S236" s="125"/>
      <c r="T236" s="125"/>
      <c r="U236" s="125"/>
      <c r="V236" s="125"/>
      <c r="W236" s="125"/>
      <c r="X236" s="125"/>
      <c r="Y236" s="125"/>
      <c r="Z236" s="125"/>
      <c r="AA236" s="125"/>
      <c r="AB236" s="125"/>
    </row>
    <row r="237" spans="1:28" ht="15.75" customHeight="1">
      <c r="A237" s="125"/>
      <c r="B237" s="125"/>
      <c r="C237" s="125"/>
      <c r="D237" s="4"/>
      <c r="E237" s="125"/>
      <c r="F237" s="125"/>
      <c r="G237" s="125"/>
      <c r="H237" s="125"/>
      <c r="I237" s="125"/>
      <c r="J237" s="125"/>
      <c r="K237" s="125"/>
      <c r="L237" s="125"/>
      <c r="M237" s="125"/>
      <c r="N237" s="125"/>
      <c r="O237" s="125"/>
      <c r="P237" s="4"/>
      <c r="Q237" s="125"/>
      <c r="R237" s="125"/>
      <c r="S237" s="125"/>
      <c r="T237" s="125"/>
      <c r="U237" s="125"/>
      <c r="V237" s="125"/>
      <c r="W237" s="125"/>
      <c r="X237" s="125"/>
      <c r="Y237" s="125"/>
      <c r="Z237" s="125"/>
      <c r="AA237" s="125"/>
      <c r="AB237" s="125"/>
    </row>
    <row r="238" spans="1:28" ht="15.75" customHeight="1">
      <c r="A238" s="125"/>
      <c r="B238" s="125"/>
      <c r="C238" s="125"/>
      <c r="D238" s="4"/>
      <c r="E238" s="125"/>
      <c r="F238" s="125"/>
      <c r="G238" s="125"/>
      <c r="H238" s="125"/>
      <c r="I238" s="125"/>
      <c r="J238" s="125"/>
      <c r="K238" s="125"/>
      <c r="L238" s="125"/>
      <c r="M238" s="125"/>
      <c r="N238" s="125"/>
      <c r="O238" s="125"/>
      <c r="P238" s="4"/>
      <c r="Q238" s="125"/>
      <c r="R238" s="125"/>
      <c r="S238" s="125"/>
      <c r="T238" s="125"/>
      <c r="U238" s="125"/>
      <c r="V238" s="125"/>
      <c r="W238" s="125"/>
      <c r="X238" s="125"/>
      <c r="Y238" s="125"/>
      <c r="Z238" s="125"/>
      <c r="AA238" s="125"/>
      <c r="AB238" s="125"/>
    </row>
    <row r="239" spans="1:28" ht="15.75" customHeight="1">
      <c r="A239" s="125"/>
      <c r="B239" s="125"/>
      <c r="C239" s="125"/>
      <c r="D239" s="4"/>
      <c r="E239" s="125"/>
      <c r="F239" s="125"/>
      <c r="G239" s="125"/>
      <c r="H239" s="125"/>
      <c r="I239" s="125"/>
      <c r="J239" s="125"/>
      <c r="K239" s="125"/>
      <c r="L239" s="125"/>
      <c r="M239" s="125"/>
      <c r="N239" s="125"/>
      <c r="O239" s="125"/>
      <c r="P239" s="4"/>
      <c r="Q239" s="125"/>
      <c r="R239" s="125"/>
      <c r="S239" s="125"/>
      <c r="T239" s="125"/>
      <c r="U239" s="125"/>
      <c r="V239" s="125"/>
      <c r="W239" s="125"/>
      <c r="X239" s="125"/>
      <c r="Y239" s="125"/>
      <c r="Z239" s="125"/>
      <c r="AA239" s="125"/>
      <c r="AB239" s="125"/>
    </row>
    <row r="240" spans="1:28" ht="15.75" customHeight="1">
      <c r="A240" s="125"/>
      <c r="B240" s="125"/>
      <c r="C240" s="125"/>
      <c r="D240" s="4"/>
      <c r="E240" s="125"/>
      <c r="F240" s="125"/>
      <c r="G240" s="125"/>
      <c r="H240" s="125"/>
      <c r="I240" s="125"/>
      <c r="J240" s="125"/>
      <c r="K240" s="125"/>
      <c r="L240" s="125"/>
      <c r="M240" s="125"/>
      <c r="N240" s="125"/>
      <c r="O240" s="125"/>
      <c r="P240" s="4"/>
      <c r="Q240" s="125"/>
      <c r="R240" s="125"/>
      <c r="S240" s="125"/>
      <c r="T240" s="125"/>
      <c r="U240" s="125"/>
      <c r="V240" s="125"/>
      <c r="W240" s="125"/>
      <c r="X240" s="125"/>
      <c r="Y240" s="125"/>
      <c r="Z240" s="125"/>
      <c r="AA240" s="125"/>
      <c r="AB240" s="125"/>
    </row>
    <row r="241" spans="1:28" ht="15.75" customHeight="1">
      <c r="A241" s="125"/>
      <c r="B241" s="125"/>
      <c r="C241" s="125"/>
      <c r="D241" s="4"/>
      <c r="E241" s="125"/>
      <c r="F241" s="125"/>
      <c r="G241" s="125"/>
      <c r="H241" s="125"/>
      <c r="I241" s="125"/>
      <c r="J241" s="125"/>
      <c r="K241" s="125"/>
      <c r="L241" s="125"/>
      <c r="M241" s="125"/>
      <c r="N241" s="125"/>
      <c r="O241" s="125"/>
      <c r="P241" s="4"/>
      <c r="Q241" s="125"/>
      <c r="R241" s="125"/>
      <c r="S241" s="125"/>
      <c r="T241" s="125"/>
      <c r="U241" s="125"/>
      <c r="V241" s="125"/>
      <c r="W241" s="125"/>
      <c r="X241" s="125"/>
      <c r="Y241" s="125"/>
      <c r="Z241" s="125"/>
      <c r="AA241" s="125"/>
      <c r="AB241" s="125"/>
    </row>
    <row r="242" spans="1:28" ht="15.75" customHeight="1">
      <c r="A242" s="125"/>
      <c r="B242" s="125"/>
      <c r="C242" s="125"/>
      <c r="D242" s="4"/>
      <c r="E242" s="125"/>
      <c r="F242" s="125"/>
      <c r="G242" s="125"/>
      <c r="H242" s="125"/>
      <c r="I242" s="125"/>
      <c r="J242" s="125"/>
      <c r="K242" s="125"/>
      <c r="L242" s="125"/>
      <c r="M242" s="125"/>
      <c r="N242" s="125"/>
      <c r="O242" s="125"/>
      <c r="P242" s="4"/>
      <c r="Q242" s="125"/>
      <c r="R242" s="125"/>
      <c r="S242" s="125"/>
      <c r="T242" s="125"/>
      <c r="U242" s="125"/>
      <c r="V242" s="125"/>
      <c r="W242" s="125"/>
      <c r="X242" s="125"/>
      <c r="Y242" s="125"/>
      <c r="Z242" s="125"/>
      <c r="AA242" s="125"/>
      <c r="AB242" s="125"/>
    </row>
    <row r="243" spans="1:28" ht="15.75" customHeight="1">
      <c r="A243" s="125"/>
      <c r="B243" s="125"/>
      <c r="C243" s="125"/>
      <c r="D243" s="4"/>
      <c r="E243" s="125"/>
      <c r="F243" s="125"/>
      <c r="G243" s="125"/>
      <c r="H243" s="125"/>
      <c r="I243" s="125"/>
      <c r="J243" s="125"/>
      <c r="K243" s="125"/>
      <c r="L243" s="125"/>
      <c r="M243" s="125"/>
      <c r="N243" s="125"/>
      <c r="O243" s="125"/>
      <c r="P243" s="4"/>
      <c r="Q243" s="125"/>
      <c r="R243" s="125"/>
      <c r="S243" s="125"/>
      <c r="T243" s="125"/>
      <c r="U243" s="125"/>
      <c r="V243" s="125"/>
      <c r="W243" s="125"/>
      <c r="X243" s="125"/>
      <c r="Y243" s="125"/>
      <c r="Z243" s="125"/>
      <c r="AA243" s="125"/>
      <c r="AB243" s="125"/>
    </row>
    <row r="244" spans="1:28" ht="15.75" customHeight="1">
      <c r="A244" s="125"/>
      <c r="B244" s="125"/>
      <c r="C244" s="125"/>
      <c r="D244" s="4"/>
      <c r="E244" s="125"/>
      <c r="F244" s="125"/>
      <c r="G244" s="125"/>
      <c r="H244" s="125"/>
      <c r="I244" s="125"/>
      <c r="J244" s="125"/>
      <c r="K244" s="125"/>
      <c r="L244" s="125"/>
      <c r="M244" s="125"/>
      <c r="N244" s="125"/>
      <c r="O244" s="125"/>
      <c r="P244" s="4"/>
      <c r="Q244" s="125"/>
      <c r="R244" s="125"/>
      <c r="S244" s="125"/>
      <c r="T244" s="125"/>
      <c r="U244" s="125"/>
      <c r="V244" s="125"/>
      <c r="W244" s="125"/>
      <c r="X244" s="125"/>
      <c r="Y244" s="125"/>
      <c r="Z244" s="125"/>
      <c r="AA244" s="125"/>
      <c r="AB244" s="125"/>
    </row>
    <row r="245" spans="1:28" ht="15.75" customHeight="1">
      <c r="A245" s="125"/>
      <c r="B245" s="125"/>
      <c r="C245" s="125"/>
      <c r="D245" s="4"/>
      <c r="E245" s="125"/>
      <c r="F245" s="125"/>
      <c r="G245" s="125"/>
      <c r="H245" s="125"/>
      <c r="I245" s="125"/>
      <c r="J245" s="125"/>
      <c r="K245" s="125"/>
      <c r="L245" s="125"/>
      <c r="M245" s="125"/>
      <c r="N245" s="125"/>
      <c r="O245" s="125"/>
      <c r="P245" s="4"/>
      <c r="Q245" s="125"/>
      <c r="R245" s="125"/>
      <c r="S245" s="125"/>
      <c r="T245" s="125"/>
      <c r="U245" s="125"/>
      <c r="V245" s="125"/>
      <c r="W245" s="125"/>
      <c r="X245" s="125"/>
      <c r="Y245" s="125"/>
      <c r="Z245" s="125"/>
      <c r="AA245" s="125"/>
      <c r="AB245" s="125"/>
    </row>
    <row r="246" spans="1:28" ht="15.75" customHeight="1">
      <c r="A246" s="125"/>
      <c r="B246" s="125"/>
      <c r="C246" s="125"/>
      <c r="D246" s="4"/>
      <c r="E246" s="125"/>
      <c r="F246" s="125"/>
      <c r="G246" s="125"/>
      <c r="H246" s="125"/>
      <c r="I246" s="125"/>
      <c r="J246" s="125"/>
      <c r="K246" s="125"/>
      <c r="L246" s="125"/>
      <c r="M246" s="125"/>
      <c r="N246" s="125"/>
      <c r="O246" s="125"/>
      <c r="P246" s="4"/>
      <c r="Q246" s="125"/>
      <c r="R246" s="125"/>
      <c r="S246" s="125"/>
      <c r="T246" s="125"/>
      <c r="U246" s="125"/>
      <c r="V246" s="125"/>
      <c r="W246" s="125"/>
      <c r="X246" s="125"/>
      <c r="Y246" s="125"/>
      <c r="Z246" s="125"/>
      <c r="AA246" s="125"/>
      <c r="AB246" s="125"/>
    </row>
    <row r="247" spans="1:28" ht="15.75" customHeight="1">
      <c r="A247" s="125"/>
      <c r="B247" s="125"/>
      <c r="C247" s="125"/>
      <c r="D247" s="4"/>
      <c r="E247" s="125"/>
      <c r="F247" s="125"/>
      <c r="G247" s="125"/>
      <c r="H247" s="125"/>
      <c r="I247" s="125"/>
      <c r="J247" s="125"/>
      <c r="K247" s="125"/>
      <c r="L247" s="125"/>
      <c r="M247" s="125"/>
      <c r="N247" s="125"/>
      <c r="O247" s="125"/>
      <c r="P247" s="4"/>
      <c r="Q247" s="125"/>
      <c r="R247" s="125"/>
      <c r="S247" s="125"/>
      <c r="T247" s="125"/>
      <c r="U247" s="125"/>
      <c r="V247" s="125"/>
      <c r="W247" s="125"/>
      <c r="X247" s="125"/>
      <c r="Y247" s="125"/>
      <c r="Z247" s="125"/>
      <c r="AA247" s="125"/>
      <c r="AB247" s="125"/>
    </row>
    <row r="248" spans="1:28" ht="15.75" customHeight="1">
      <c r="A248" s="125"/>
      <c r="B248" s="125"/>
      <c r="C248" s="125"/>
      <c r="D248" s="4"/>
      <c r="E248" s="125"/>
      <c r="F248" s="125"/>
      <c r="G248" s="125"/>
      <c r="H248" s="125"/>
      <c r="I248" s="125"/>
      <c r="J248" s="125"/>
      <c r="K248" s="125"/>
      <c r="L248" s="125"/>
      <c r="M248" s="125"/>
      <c r="N248" s="125"/>
      <c r="O248" s="125"/>
      <c r="P248" s="4"/>
      <c r="Q248" s="125"/>
      <c r="R248" s="125"/>
      <c r="S248" s="125"/>
      <c r="T248" s="125"/>
      <c r="U248" s="125"/>
      <c r="V248" s="125"/>
      <c r="W248" s="125"/>
      <c r="X248" s="125"/>
      <c r="Y248" s="125"/>
      <c r="Z248" s="125"/>
      <c r="AA248" s="125"/>
      <c r="AB248" s="125"/>
    </row>
    <row r="249" spans="1:28" ht="15.75" customHeight="1">
      <c r="A249" s="125"/>
      <c r="B249" s="125"/>
      <c r="C249" s="125"/>
      <c r="D249" s="4"/>
      <c r="E249" s="125"/>
      <c r="F249" s="125"/>
      <c r="G249" s="125"/>
      <c r="H249" s="125"/>
      <c r="I249" s="125"/>
      <c r="J249" s="125"/>
      <c r="K249" s="125"/>
      <c r="L249" s="125"/>
      <c r="M249" s="125"/>
      <c r="N249" s="125"/>
      <c r="O249" s="125"/>
      <c r="P249" s="4"/>
      <c r="Q249" s="125"/>
      <c r="R249" s="125"/>
      <c r="S249" s="125"/>
      <c r="T249" s="125"/>
      <c r="U249" s="125"/>
      <c r="V249" s="125"/>
      <c r="W249" s="125"/>
      <c r="X249" s="125"/>
      <c r="Y249" s="125"/>
      <c r="Z249" s="125"/>
      <c r="AA249" s="125"/>
      <c r="AB249" s="125"/>
    </row>
    <row r="250" spans="1:28" ht="15.75" customHeight="1">
      <c r="A250" s="125"/>
      <c r="B250" s="125"/>
      <c r="C250" s="125"/>
      <c r="D250" s="4"/>
      <c r="E250" s="125"/>
      <c r="F250" s="125"/>
      <c r="G250" s="125"/>
      <c r="H250" s="125"/>
      <c r="I250" s="125"/>
      <c r="J250" s="125"/>
      <c r="K250" s="125"/>
      <c r="L250" s="125"/>
      <c r="M250" s="125"/>
      <c r="N250" s="125"/>
      <c r="O250" s="125"/>
      <c r="P250" s="4"/>
      <c r="Q250" s="125"/>
      <c r="R250" s="125"/>
      <c r="S250" s="125"/>
      <c r="T250" s="125"/>
      <c r="U250" s="125"/>
      <c r="V250" s="125"/>
      <c r="W250" s="125"/>
      <c r="X250" s="125"/>
      <c r="Y250" s="125"/>
      <c r="Z250" s="125"/>
      <c r="AA250" s="125"/>
      <c r="AB250" s="125"/>
    </row>
    <row r="251" spans="1:28" ht="15.75" customHeight="1">
      <c r="A251" s="125"/>
      <c r="B251" s="125"/>
      <c r="C251" s="125"/>
      <c r="D251" s="4"/>
      <c r="E251" s="125"/>
      <c r="F251" s="125"/>
      <c r="G251" s="125"/>
      <c r="H251" s="125"/>
      <c r="I251" s="125"/>
      <c r="J251" s="125"/>
      <c r="K251" s="125"/>
      <c r="L251" s="125"/>
      <c r="M251" s="125"/>
      <c r="N251" s="125"/>
      <c r="O251" s="125"/>
      <c r="P251" s="4"/>
      <c r="Q251" s="125"/>
      <c r="R251" s="125"/>
      <c r="S251" s="125"/>
      <c r="T251" s="125"/>
      <c r="U251" s="125"/>
      <c r="V251" s="125"/>
      <c r="W251" s="125"/>
      <c r="X251" s="125"/>
      <c r="Y251" s="125"/>
      <c r="Z251" s="125"/>
      <c r="AA251" s="125"/>
      <c r="AB251" s="125"/>
    </row>
    <row r="252" spans="1:28" ht="15.75" customHeight="1">
      <c r="A252" s="125"/>
      <c r="B252" s="125"/>
      <c r="C252" s="125"/>
      <c r="D252" s="4"/>
      <c r="E252" s="125"/>
      <c r="F252" s="125"/>
      <c r="G252" s="125"/>
      <c r="H252" s="125"/>
      <c r="I252" s="125"/>
      <c r="J252" s="125"/>
      <c r="K252" s="125"/>
      <c r="L252" s="125"/>
      <c r="M252" s="125"/>
      <c r="N252" s="125"/>
      <c r="O252" s="125"/>
      <c r="P252" s="4"/>
      <c r="Q252" s="125"/>
      <c r="R252" s="125"/>
      <c r="S252" s="125"/>
      <c r="T252" s="125"/>
      <c r="U252" s="125"/>
      <c r="V252" s="125"/>
      <c r="W252" s="125"/>
      <c r="X252" s="125"/>
      <c r="Y252" s="125"/>
      <c r="Z252" s="125"/>
      <c r="AA252" s="125"/>
      <c r="AB252" s="125"/>
    </row>
    <row r="253" spans="1:28" ht="15.75" customHeight="1">
      <c r="A253" s="125"/>
      <c r="B253" s="125"/>
      <c r="C253" s="125"/>
      <c r="D253" s="4"/>
      <c r="E253" s="125"/>
      <c r="F253" s="125"/>
      <c r="G253" s="125"/>
      <c r="H253" s="125"/>
      <c r="I253" s="125"/>
      <c r="J253" s="125"/>
      <c r="K253" s="125"/>
      <c r="L253" s="125"/>
      <c r="M253" s="125"/>
      <c r="N253" s="125"/>
      <c r="O253" s="125"/>
      <c r="P253" s="4"/>
      <c r="Q253" s="125"/>
      <c r="R253" s="125"/>
      <c r="S253" s="125"/>
      <c r="T253" s="125"/>
      <c r="U253" s="125"/>
      <c r="V253" s="125"/>
      <c r="W253" s="125"/>
      <c r="X253" s="125"/>
      <c r="Y253" s="125"/>
      <c r="Z253" s="125"/>
      <c r="AA253" s="125"/>
      <c r="AB253" s="125"/>
    </row>
    <row r="254" spans="1:28" ht="15.75" customHeight="1">
      <c r="A254" s="125"/>
      <c r="B254" s="125"/>
      <c r="C254" s="125"/>
      <c r="D254" s="4"/>
      <c r="E254" s="125"/>
      <c r="F254" s="125"/>
      <c r="G254" s="125"/>
      <c r="H254" s="125"/>
      <c r="I254" s="125"/>
      <c r="J254" s="125"/>
      <c r="K254" s="125"/>
      <c r="L254" s="125"/>
      <c r="M254" s="125"/>
      <c r="N254" s="125"/>
      <c r="O254" s="125"/>
      <c r="P254" s="4"/>
      <c r="Q254" s="125"/>
      <c r="R254" s="125"/>
      <c r="S254" s="125"/>
      <c r="T254" s="125"/>
      <c r="U254" s="125"/>
      <c r="V254" s="125"/>
      <c r="W254" s="125"/>
      <c r="X254" s="125"/>
      <c r="Y254" s="125"/>
      <c r="Z254" s="125"/>
      <c r="AA254" s="125"/>
      <c r="AB254" s="125"/>
    </row>
    <row r="255" spans="1:28" ht="15.75" customHeight="1">
      <c r="A255" s="125"/>
      <c r="B255" s="125"/>
      <c r="C255" s="125"/>
      <c r="D255" s="4"/>
      <c r="E255" s="125"/>
      <c r="F255" s="125"/>
      <c r="G255" s="125"/>
      <c r="H255" s="125"/>
      <c r="I255" s="125"/>
      <c r="J255" s="125"/>
      <c r="K255" s="125"/>
      <c r="L255" s="125"/>
      <c r="M255" s="125"/>
      <c r="N255" s="125"/>
      <c r="O255" s="125"/>
      <c r="P255" s="4"/>
      <c r="Q255" s="125"/>
      <c r="R255" s="125"/>
      <c r="S255" s="125"/>
      <c r="T255" s="125"/>
      <c r="U255" s="125"/>
      <c r="V255" s="125"/>
      <c r="W255" s="125"/>
      <c r="X255" s="125"/>
      <c r="Y255" s="125"/>
      <c r="Z255" s="125"/>
      <c r="AA255" s="125"/>
      <c r="AB255" s="125"/>
    </row>
    <row r="256" spans="1:28" ht="15.75" customHeight="1">
      <c r="A256" s="125"/>
      <c r="B256" s="125"/>
      <c r="C256" s="125"/>
      <c r="D256" s="4"/>
      <c r="E256" s="125"/>
      <c r="F256" s="125"/>
      <c r="G256" s="125"/>
      <c r="H256" s="125"/>
      <c r="I256" s="125"/>
      <c r="J256" s="125"/>
      <c r="K256" s="125"/>
      <c r="L256" s="125"/>
      <c r="M256" s="125"/>
      <c r="N256" s="125"/>
      <c r="O256" s="125"/>
      <c r="P256" s="4"/>
      <c r="Q256" s="125"/>
      <c r="R256" s="125"/>
      <c r="S256" s="125"/>
      <c r="T256" s="125"/>
      <c r="U256" s="125"/>
      <c r="V256" s="125"/>
      <c r="W256" s="125"/>
      <c r="X256" s="125"/>
      <c r="Y256" s="125"/>
      <c r="Z256" s="125"/>
      <c r="AA256" s="125"/>
      <c r="AB256" s="125"/>
    </row>
    <row r="257" spans="1:28" ht="15.75" customHeight="1">
      <c r="A257" s="125"/>
      <c r="B257" s="125"/>
      <c r="C257" s="125"/>
      <c r="D257" s="4"/>
      <c r="E257" s="125"/>
      <c r="F257" s="125"/>
      <c r="G257" s="125"/>
      <c r="H257" s="125"/>
      <c r="I257" s="125"/>
      <c r="J257" s="125"/>
      <c r="K257" s="125"/>
      <c r="L257" s="125"/>
      <c r="M257" s="125"/>
      <c r="N257" s="125"/>
      <c r="O257" s="125"/>
      <c r="P257" s="4"/>
      <c r="Q257" s="125"/>
      <c r="R257" s="125"/>
      <c r="S257" s="125"/>
      <c r="T257" s="125"/>
      <c r="U257" s="125"/>
      <c r="V257" s="125"/>
      <c r="W257" s="125"/>
      <c r="X257" s="125"/>
      <c r="Y257" s="125"/>
      <c r="Z257" s="125"/>
      <c r="AA257" s="125"/>
      <c r="AB257" s="125"/>
    </row>
    <row r="258" spans="1:28" ht="15.75" customHeight="1">
      <c r="A258" s="125"/>
      <c r="B258" s="125"/>
      <c r="C258" s="125"/>
      <c r="D258" s="4"/>
      <c r="E258" s="125"/>
      <c r="F258" s="125"/>
      <c r="G258" s="125"/>
      <c r="H258" s="125"/>
      <c r="I258" s="125"/>
      <c r="J258" s="125"/>
      <c r="K258" s="125"/>
      <c r="L258" s="125"/>
      <c r="M258" s="125"/>
      <c r="N258" s="125"/>
      <c r="O258" s="125"/>
      <c r="P258" s="4"/>
      <c r="Q258" s="125"/>
      <c r="R258" s="125"/>
      <c r="S258" s="125"/>
      <c r="T258" s="125"/>
      <c r="U258" s="125"/>
      <c r="V258" s="125"/>
      <c r="W258" s="125"/>
      <c r="X258" s="125"/>
      <c r="Y258" s="125"/>
      <c r="Z258" s="125"/>
      <c r="AA258" s="125"/>
      <c r="AB258" s="125"/>
    </row>
    <row r="259" spans="1:28" ht="15.75" customHeight="1">
      <c r="A259" s="125"/>
      <c r="B259" s="125"/>
      <c r="C259" s="125"/>
      <c r="D259" s="4"/>
      <c r="E259" s="125"/>
      <c r="F259" s="125"/>
      <c r="G259" s="125"/>
      <c r="H259" s="125"/>
      <c r="I259" s="125"/>
      <c r="J259" s="125"/>
      <c r="K259" s="125"/>
      <c r="L259" s="125"/>
      <c r="M259" s="125"/>
      <c r="N259" s="125"/>
      <c r="O259" s="125"/>
      <c r="P259" s="4"/>
      <c r="Q259" s="125"/>
      <c r="R259" s="125"/>
      <c r="S259" s="125"/>
      <c r="T259" s="125"/>
      <c r="U259" s="125"/>
      <c r="V259" s="125"/>
      <c r="W259" s="125"/>
      <c r="X259" s="125"/>
      <c r="Y259" s="125"/>
      <c r="Z259" s="125"/>
      <c r="AA259" s="125"/>
      <c r="AB259" s="125"/>
    </row>
    <row r="260" spans="1:28" ht="15.75" customHeight="1">
      <c r="A260" s="125"/>
      <c r="B260" s="125"/>
      <c r="C260" s="125"/>
      <c r="D260" s="4"/>
      <c r="E260" s="125"/>
      <c r="F260" s="125"/>
      <c r="G260" s="125"/>
      <c r="H260" s="125"/>
      <c r="I260" s="125"/>
      <c r="J260" s="125"/>
      <c r="K260" s="125"/>
      <c r="L260" s="125"/>
      <c r="M260" s="125"/>
      <c r="N260" s="125"/>
      <c r="O260" s="125"/>
      <c r="P260" s="4"/>
      <c r="Q260" s="125"/>
      <c r="R260" s="125"/>
      <c r="S260" s="125"/>
      <c r="T260" s="125"/>
      <c r="U260" s="125"/>
      <c r="V260" s="125"/>
      <c r="W260" s="125"/>
      <c r="X260" s="125"/>
      <c r="Y260" s="125"/>
      <c r="Z260" s="125"/>
      <c r="AA260" s="125"/>
      <c r="AB260" s="125"/>
    </row>
    <row r="261" spans="1:28" ht="15.75" customHeight="1">
      <c r="A261" s="125"/>
      <c r="B261" s="125"/>
      <c r="C261" s="125"/>
      <c r="D261" s="4"/>
      <c r="E261" s="125"/>
      <c r="F261" s="125"/>
      <c r="G261" s="125"/>
      <c r="H261" s="125"/>
      <c r="I261" s="125"/>
      <c r="J261" s="125"/>
      <c r="K261" s="125"/>
      <c r="L261" s="125"/>
      <c r="M261" s="125"/>
      <c r="N261" s="125"/>
      <c r="O261" s="125"/>
      <c r="P261" s="4"/>
      <c r="Q261" s="125"/>
      <c r="R261" s="125"/>
      <c r="S261" s="125"/>
      <c r="T261" s="125"/>
      <c r="U261" s="125"/>
      <c r="V261" s="125"/>
      <c r="W261" s="125"/>
      <c r="X261" s="125"/>
      <c r="Y261" s="125"/>
      <c r="Z261" s="125"/>
      <c r="AA261" s="125"/>
      <c r="AB261" s="125"/>
    </row>
    <row r="262" spans="1:28" ht="15.75" customHeight="1">
      <c r="A262" s="125"/>
      <c r="B262" s="125"/>
      <c r="C262" s="125"/>
      <c r="D262" s="4"/>
      <c r="E262" s="125"/>
      <c r="F262" s="125"/>
      <c r="G262" s="125"/>
      <c r="H262" s="125"/>
      <c r="I262" s="125"/>
      <c r="J262" s="125"/>
      <c r="K262" s="125"/>
      <c r="L262" s="125"/>
      <c r="M262" s="125"/>
      <c r="N262" s="125"/>
      <c r="O262" s="125"/>
      <c r="P262" s="4"/>
      <c r="Q262" s="125"/>
      <c r="R262" s="125"/>
      <c r="S262" s="125"/>
      <c r="T262" s="125"/>
      <c r="U262" s="125"/>
      <c r="V262" s="125"/>
      <c r="W262" s="125"/>
      <c r="X262" s="125"/>
      <c r="Y262" s="125"/>
      <c r="Z262" s="125"/>
      <c r="AA262" s="125"/>
      <c r="AB262" s="125"/>
    </row>
    <row r="263" spans="1:28" ht="15.75" customHeight="1">
      <c r="A263" s="125"/>
      <c r="B263" s="125"/>
      <c r="C263" s="125"/>
      <c r="D263" s="4"/>
      <c r="E263" s="125"/>
      <c r="F263" s="125"/>
      <c r="G263" s="125"/>
      <c r="H263" s="125"/>
      <c r="I263" s="125"/>
      <c r="J263" s="125"/>
      <c r="K263" s="125"/>
      <c r="L263" s="125"/>
      <c r="M263" s="125"/>
      <c r="N263" s="125"/>
      <c r="O263" s="125"/>
      <c r="P263" s="4"/>
      <c r="Q263" s="125"/>
      <c r="R263" s="125"/>
      <c r="S263" s="125"/>
      <c r="T263" s="125"/>
      <c r="U263" s="125"/>
      <c r="V263" s="125"/>
      <c r="W263" s="125"/>
      <c r="X263" s="125"/>
      <c r="Y263" s="125"/>
      <c r="Z263" s="125"/>
      <c r="AA263" s="125"/>
      <c r="AB263" s="125"/>
    </row>
    <row r="264" spans="1:28" ht="15.75" customHeight="1">
      <c r="A264" s="125"/>
      <c r="B264" s="125"/>
      <c r="C264" s="125"/>
      <c r="D264" s="4"/>
      <c r="E264" s="125"/>
      <c r="F264" s="125"/>
      <c r="G264" s="125"/>
      <c r="H264" s="125"/>
      <c r="I264" s="125"/>
      <c r="J264" s="125"/>
      <c r="K264" s="125"/>
      <c r="L264" s="125"/>
      <c r="M264" s="125"/>
      <c r="N264" s="125"/>
      <c r="O264" s="125"/>
      <c r="P264" s="4"/>
      <c r="Q264" s="125"/>
      <c r="R264" s="125"/>
      <c r="S264" s="125"/>
      <c r="T264" s="125"/>
      <c r="U264" s="125"/>
      <c r="V264" s="125"/>
      <c r="W264" s="125"/>
      <c r="X264" s="125"/>
      <c r="Y264" s="125"/>
      <c r="Z264" s="125"/>
      <c r="AA264" s="125"/>
      <c r="AB264" s="125"/>
    </row>
    <row r="265" spans="1:28" ht="15.75" customHeight="1">
      <c r="A265" s="125"/>
      <c r="B265" s="125"/>
      <c r="C265" s="125"/>
      <c r="D265" s="4"/>
      <c r="E265" s="125"/>
      <c r="F265" s="125"/>
      <c r="G265" s="125"/>
      <c r="H265" s="125"/>
      <c r="I265" s="125"/>
      <c r="J265" s="125"/>
      <c r="K265" s="125"/>
      <c r="L265" s="125"/>
      <c r="M265" s="125"/>
      <c r="N265" s="125"/>
      <c r="O265" s="125"/>
      <c r="P265" s="4"/>
      <c r="Q265" s="125"/>
      <c r="R265" s="125"/>
      <c r="S265" s="125"/>
      <c r="T265" s="125"/>
      <c r="U265" s="125"/>
      <c r="V265" s="125"/>
      <c r="W265" s="125"/>
      <c r="X265" s="125"/>
      <c r="Y265" s="125"/>
      <c r="Z265" s="125"/>
      <c r="AA265" s="125"/>
      <c r="AB265" s="125"/>
    </row>
    <row r="266" spans="1:28" ht="15.75" customHeight="1">
      <c r="A266" s="125"/>
      <c r="B266" s="125"/>
      <c r="C266" s="125"/>
      <c r="D266" s="4"/>
      <c r="E266" s="125"/>
      <c r="F266" s="125"/>
      <c r="G266" s="125"/>
      <c r="H266" s="125"/>
      <c r="I266" s="125"/>
      <c r="J266" s="125"/>
      <c r="K266" s="125"/>
      <c r="L266" s="125"/>
      <c r="M266" s="125"/>
      <c r="N266" s="125"/>
      <c r="O266" s="125"/>
      <c r="P266" s="4"/>
      <c r="Q266" s="125"/>
      <c r="R266" s="125"/>
      <c r="S266" s="125"/>
      <c r="T266" s="125"/>
      <c r="U266" s="125"/>
      <c r="V266" s="125"/>
      <c r="W266" s="125"/>
      <c r="X266" s="125"/>
      <c r="Y266" s="125"/>
      <c r="Z266" s="125"/>
      <c r="AA266" s="125"/>
      <c r="AB266" s="125"/>
    </row>
    <row r="267" spans="1:28" ht="15.75" customHeight="1">
      <c r="A267" s="125"/>
      <c r="B267" s="125"/>
      <c r="C267" s="125"/>
      <c r="D267" s="4"/>
      <c r="E267" s="125"/>
      <c r="F267" s="125"/>
      <c r="G267" s="125"/>
      <c r="H267" s="125"/>
      <c r="I267" s="125"/>
      <c r="J267" s="125"/>
      <c r="K267" s="125"/>
      <c r="L267" s="125"/>
      <c r="M267" s="125"/>
      <c r="N267" s="125"/>
      <c r="O267" s="125"/>
      <c r="P267" s="4"/>
      <c r="Q267" s="125"/>
      <c r="R267" s="125"/>
      <c r="S267" s="125"/>
      <c r="T267" s="125"/>
      <c r="U267" s="125"/>
      <c r="V267" s="125"/>
      <c r="W267" s="125"/>
      <c r="X267" s="125"/>
      <c r="Y267" s="125"/>
      <c r="Z267" s="125"/>
      <c r="AA267" s="125"/>
      <c r="AB267" s="125"/>
    </row>
    <row r="268" spans="1:28" ht="15.75" customHeight="1">
      <c r="A268" s="125"/>
      <c r="B268" s="125"/>
      <c r="C268" s="125"/>
      <c r="D268" s="4"/>
      <c r="E268" s="125"/>
      <c r="F268" s="125"/>
      <c r="G268" s="125"/>
      <c r="H268" s="125"/>
      <c r="I268" s="125"/>
      <c r="J268" s="125"/>
      <c r="K268" s="125"/>
      <c r="L268" s="125"/>
      <c r="M268" s="125"/>
      <c r="N268" s="125"/>
      <c r="O268" s="125"/>
      <c r="P268" s="4"/>
      <c r="Q268" s="125"/>
      <c r="R268" s="125"/>
      <c r="S268" s="125"/>
      <c r="T268" s="125"/>
      <c r="U268" s="125"/>
      <c r="V268" s="125"/>
      <c r="W268" s="125"/>
      <c r="X268" s="125"/>
      <c r="Y268" s="125"/>
      <c r="Z268" s="125"/>
      <c r="AA268" s="125"/>
      <c r="AB268" s="125"/>
    </row>
    <row r="269" spans="1:28" ht="15.75" customHeight="1">
      <c r="A269" s="125"/>
      <c r="B269" s="125"/>
      <c r="C269" s="125"/>
      <c r="D269" s="4"/>
      <c r="E269" s="125"/>
      <c r="F269" s="125"/>
      <c r="G269" s="125"/>
      <c r="H269" s="125"/>
      <c r="I269" s="125"/>
      <c r="J269" s="125"/>
      <c r="K269" s="125"/>
      <c r="L269" s="125"/>
      <c r="M269" s="125"/>
      <c r="N269" s="125"/>
      <c r="O269" s="125"/>
      <c r="P269" s="4"/>
      <c r="Q269" s="125"/>
      <c r="R269" s="125"/>
      <c r="S269" s="125"/>
      <c r="T269" s="125"/>
      <c r="U269" s="125"/>
      <c r="V269" s="125"/>
      <c r="W269" s="125"/>
      <c r="X269" s="125"/>
      <c r="Y269" s="125"/>
      <c r="Z269" s="125"/>
      <c r="AA269" s="125"/>
      <c r="AB269" s="125"/>
    </row>
    <row r="270" spans="1:28" ht="15.75" customHeight="1">
      <c r="A270" s="125"/>
      <c r="B270" s="125"/>
      <c r="C270" s="125"/>
      <c r="D270" s="4"/>
      <c r="E270" s="125"/>
      <c r="F270" s="125"/>
      <c r="G270" s="125"/>
      <c r="H270" s="125"/>
      <c r="I270" s="125"/>
      <c r="J270" s="125"/>
      <c r="K270" s="125"/>
      <c r="L270" s="125"/>
      <c r="M270" s="125"/>
      <c r="N270" s="125"/>
      <c r="O270" s="125"/>
      <c r="P270" s="4"/>
      <c r="Q270" s="125"/>
      <c r="R270" s="125"/>
      <c r="S270" s="125"/>
      <c r="T270" s="125"/>
      <c r="U270" s="125"/>
      <c r="V270" s="125"/>
      <c r="W270" s="125"/>
      <c r="X270" s="125"/>
      <c r="Y270" s="125"/>
      <c r="Z270" s="125"/>
      <c r="AA270" s="125"/>
      <c r="AB270" s="125"/>
    </row>
    <row r="271" spans="1:28" ht="15.75" customHeight="1">
      <c r="A271" s="125"/>
      <c r="B271" s="125"/>
      <c r="C271" s="125"/>
      <c r="D271" s="4"/>
      <c r="E271" s="125"/>
      <c r="F271" s="125"/>
      <c r="G271" s="125"/>
      <c r="H271" s="125"/>
      <c r="I271" s="125"/>
      <c r="J271" s="125"/>
      <c r="K271" s="125"/>
      <c r="L271" s="125"/>
      <c r="M271" s="125"/>
      <c r="N271" s="125"/>
      <c r="O271" s="125"/>
      <c r="P271" s="4"/>
      <c r="Q271" s="125"/>
      <c r="R271" s="125"/>
      <c r="S271" s="125"/>
      <c r="T271" s="125"/>
      <c r="U271" s="125"/>
      <c r="V271" s="125"/>
      <c r="W271" s="125"/>
      <c r="X271" s="125"/>
      <c r="Y271" s="125"/>
      <c r="Z271" s="125"/>
      <c r="AA271" s="125"/>
      <c r="AB271" s="125"/>
    </row>
    <row r="272" spans="1:28" ht="15.75" customHeight="1">
      <c r="A272" s="125"/>
      <c r="B272" s="125"/>
      <c r="C272" s="125"/>
      <c r="D272" s="4"/>
      <c r="E272" s="125"/>
      <c r="F272" s="125"/>
      <c r="G272" s="125"/>
      <c r="H272" s="125"/>
      <c r="I272" s="125"/>
      <c r="J272" s="125"/>
      <c r="K272" s="125"/>
      <c r="L272" s="125"/>
      <c r="M272" s="125"/>
      <c r="N272" s="125"/>
      <c r="O272" s="125"/>
      <c r="P272" s="4"/>
      <c r="Q272" s="125"/>
      <c r="R272" s="125"/>
      <c r="S272" s="125"/>
      <c r="T272" s="125"/>
      <c r="U272" s="125"/>
      <c r="V272" s="125"/>
      <c r="W272" s="125"/>
      <c r="X272" s="125"/>
      <c r="Y272" s="125"/>
      <c r="Z272" s="125"/>
      <c r="AA272" s="125"/>
      <c r="AB272" s="125"/>
    </row>
    <row r="273" spans="1:28" ht="15.75" customHeight="1">
      <c r="A273" s="125"/>
      <c r="B273" s="125"/>
      <c r="C273" s="125"/>
      <c r="D273" s="4"/>
      <c r="E273" s="125"/>
      <c r="F273" s="125"/>
      <c r="G273" s="125"/>
      <c r="H273" s="125"/>
      <c r="I273" s="125"/>
      <c r="J273" s="125"/>
      <c r="K273" s="125"/>
      <c r="L273" s="125"/>
      <c r="M273" s="125"/>
      <c r="N273" s="125"/>
      <c r="O273" s="125"/>
      <c r="P273" s="4"/>
      <c r="Q273" s="125"/>
      <c r="R273" s="125"/>
      <c r="S273" s="125"/>
      <c r="T273" s="125"/>
      <c r="U273" s="125"/>
      <c r="V273" s="125"/>
      <c r="W273" s="125"/>
      <c r="X273" s="125"/>
      <c r="Y273" s="125"/>
      <c r="Z273" s="125"/>
      <c r="AA273" s="125"/>
      <c r="AB273" s="125"/>
    </row>
    <row r="274" spans="1:28" ht="15.75" customHeight="1">
      <c r="A274" s="125"/>
      <c r="B274" s="125"/>
      <c r="C274" s="125"/>
      <c r="D274" s="4"/>
      <c r="E274" s="125"/>
      <c r="F274" s="125"/>
      <c r="G274" s="125"/>
      <c r="H274" s="125"/>
      <c r="I274" s="125"/>
      <c r="J274" s="125"/>
      <c r="K274" s="125"/>
      <c r="L274" s="125"/>
      <c r="M274" s="125"/>
      <c r="N274" s="125"/>
      <c r="O274" s="125"/>
      <c r="P274" s="4"/>
      <c r="Q274" s="125"/>
      <c r="R274" s="125"/>
      <c r="S274" s="125"/>
      <c r="T274" s="125"/>
      <c r="U274" s="125"/>
      <c r="V274" s="125"/>
      <c r="W274" s="125"/>
      <c r="X274" s="125"/>
      <c r="Y274" s="125"/>
      <c r="Z274" s="125"/>
      <c r="AA274" s="125"/>
      <c r="AB274" s="125"/>
    </row>
    <row r="275" spans="1:28" ht="15.75" customHeight="1">
      <c r="A275" s="125"/>
      <c r="B275" s="125"/>
      <c r="C275" s="125"/>
      <c r="D275" s="4"/>
      <c r="E275" s="125"/>
      <c r="F275" s="125"/>
      <c r="G275" s="125"/>
      <c r="H275" s="125"/>
      <c r="I275" s="125"/>
      <c r="J275" s="125"/>
      <c r="K275" s="125"/>
      <c r="L275" s="125"/>
      <c r="M275" s="125"/>
      <c r="N275" s="125"/>
      <c r="O275" s="125"/>
      <c r="P275" s="4"/>
      <c r="Q275" s="125"/>
      <c r="R275" s="125"/>
      <c r="S275" s="125"/>
      <c r="T275" s="125"/>
      <c r="U275" s="125"/>
      <c r="V275" s="125"/>
      <c r="W275" s="125"/>
      <c r="X275" s="125"/>
      <c r="Y275" s="125"/>
      <c r="Z275" s="125"/>
      <c r="AA275" s="125"/>
      <c r="AB275" s="125"/>
    </row>
    <row r="276" spans="1:28" ht="15.75" customHeight="1">
      <c r="A276" s="125"/>
      <c r="B276" s="125"/>
      <c r="C276" s="125"/>
      <c r="D276" s="4"/>
      <c r="E276" s="125"/>
      <c r="F276" s="125"/>
      <c r="G276" s="125"/>
      <c r="H276" s="125"/>
      <c r="I276" s="125"/>
      <c r="J276" s="125"/>
      <c r="K276" s="125"/>
      <c r="L276" s="125"/>
      <c r="M276" s="125"/>
      <c r="N276" s="125"/>
      <c r="O276" s="125"/>
      <c r="P276" s="4"/>
      <c r="Q276" s="125"/>
      <c r="R276" s="125"/>
      <c r="S276" s="125"/>
      <c r="T276" s="125"/>
      <c r="U276" s="125"/>
      <c r="V276" s="125"/>
      <c r="W276" s="125"/>
      <c r="X276" s="125"/>
      <c r="Y276" s="125"/>
      <c r="Z276" s="125"/>
      <c r="AA276" s="125"/>
      <c r="AB276" s="125"/>
    </row>
    <row r="277" spans="1:28" ht="15.75" customHeight="1">
      <c r="A277" s="125"/>
      <c r="B277" s="125"/>
      <c r="C277" s="125"/>
      <c r="D277" s="4"/>
      <c r="E277" s="125"/>
      <c r="F277" s="125"/>
      <c r="G277" s="125"/>
      <c r="H277" s="125"/>
      <c r="I277" s="125"/>
      <c r="J277" s="125"/>
      <c r="K277" s="125"/>
      <c r="L277" s="125"/>
      <c r="M277" s="125"/>
      <c r="N277" s="125"/>
      <c r="O277" s="125"/>
      <c r="P277" s="4"/>
      <c r="Q277" s="125"/>
      <c r="R277" s="125"/>
      <c r="S277" s="125"/>
      <c r="T277" s="125"/>
      <c r="U277" s="125"/>
      <c r="V277" s="125"/>
      <c r="W277" s="125"/>
      <c r="X277" s="125"/>
      <c r="Y277" s="125"/>
      <c r="Z277" s="125"/>
      <c r="AA277" s="125"/>
      <c r="AB277" s="125"/>
    </row>
    <row r="278" spans="1:28" ht="15.75" customHeight="1">
      <c r="A278" s="125"/>
      <c r="B278" s="125"/>
      <c r="C278" s="125"/>
      <c r="D278" s="4"/>
      <c r="E278" s="125"/>
      <c r="F278" s="125"/>
      <c r="G278" s="125"/>
      <c r="H278" s="125"/>
      <c r="I278" s="125"/>
      <c r="J278" s="125"/>
      <c r="K278" s="125"/>
      <c r="L278" s="125"/>
      <c r="M278" s="125"/>
      <c r="N278" s="125"/>
      <c r="O278" s="125"/>
      <c r="P278" s="4"/>
      <c r="Q278" s="125"/>
      <c r="R278" s="125"/>
      <c r="S278" s="125"/>
      <c r="T278" s="125"/>
      <c r="U278" s="125"/>
      <c r="V278" s="125"/>
      <c r="W278" s="125"/>
      <c r="X278" s="125"/>
      <c r="Y278" s="125"/>
      <c r="Z278" s="125"/>
      <c r="AA278" s="125"/>
      <c r="AB278" s="125"/>
    </row>
    <row r="279" spans="1:28" ht="15.75" customHeight="1">
      <c r="A279" s="125"/>
      <c r="B279" s="125"/>
      <c r="C279" s="125"/>
      <c r="D279" s="4"/>
      <c r="E279" s="125"/>
      <c r="F279" s="125"/>
      <c r="G279" s="125"/>
      <c r="H279" s="125"/>
      <c r="I279" s="125"/>
      <c r="J279" s="125"/>
      <c r="K279" s="125"/>
      <c r="L279" s="125"/>
      <c r="M279" s="125"/>
      <c r="N279" s="125"/>
      <c r="O279" s="125"/>
      <c r="P279" s="4"/>
      <c r="Q279" s="125"/>
      <c r="R279" s="125"/>
      <c r="S279" s="125"/>
      <c r="T279" s="125"/>
      <c r="U279" s="125"/>
      <c r="V279" s="125"/>
      <c r="W279" s="125"/>
      <c r="X279" s="125"/>
      <c r="Y279" s="125"/>
      <c r="Z279" s="125"/>
      <c r="AA279" s="125"/>
      <c r="AB279" s="125"/>
    </row>
    <row r="280" spans="1:28" ht="15.75" customHeight="1">
      <c r="A280" s="125"/>
      <c r="B280" s="125"/>
      <c r="C280" s="125"/>
      <c r="D280" s="4"/>
      <c r="E280" s="125"/>
      <c r="F280" s="125"/>
      <c r="G280" s="125"/>
      <c r="H280" s="125"/>
      <c r="I280" s="125"/>
      <c r="J280" s="125"/>
      <c r="K280" s="125"/>
      <c r="L280" s="125"/>
      <c r="M280" s="125"/>
      <c r="N280" s="125"/>
      <c r="O280" s="125"/>
      <c r="P280" s="4"/>
      <c r="Q280" s="125"/>
      <c r="R280" s="125"/>
      <c r="S280" s="125"/>
      <c r="T280" s="125"/>
      <c r="U280" s="125"/>
      <c r="V280" s="125"/>
      <c r="W280" s="125"/>
      <c r="X280" s="125"/>
      <c r="Y280" s="125"/>
      <c r="Z280" s="125"/>
      <c r="AA280" s="125"/>
      <c r="AB280" s="125"/>
    </row>
    <row r="281" spans="1:28" ht="15.75" customHeight="1">
      <c r="A281" s="125"/>
      <c r="B281" s="125"/>
      <c r="C281" s="125"/>
      <c r="D281" s="4"/>
      <c r="E281" s="125"/>
      <c r="F281" s="125"/>
      <c r="G281" s="125"/>
      <c r="H281" s="125"/>
      <c r="I281" s="125"/>
      <c r="J281" s="125"/>
      <c r="K281" s="125"/>
      <c r="L281" s="125"/>
      <c r="M281" s="125"/>
      <c r="N281" s="125"/>
      <c r="O281" s="125"/>
      <c r="P281" s="4"/>
      <c r="Q281" s="125"/>
      <c r="R281" s="125"/>
      <c r="S281" s="125"/>
      <c r="T281" s="125"/>
      <c r="U281" s="125"/>
      <c r="V281" s="125"/>
      <c r="W281" s="125"/>
      <c r="X281" s="125"/>
      <c r="Y281" s="125"/>
      <c r="Z281" s="125"/>
      <c r="AA281" s="125"/>
      <c r="AB281" s="125"/>
    </row>
    <row r="282" spans="1:28" ht="15.75" customHeight="1">
      <c r="A282" s="125"/>
      <c r="B282" s="125"/>
      <c r="C282" s="125"/>
      <c r="D282" s="4"/>
      <c r="E282" s="125"/>
      <c r="F282" s="125"/>
      <c r="G282" s="125"/>
      <c r="H282" s="125"/>
      <c r="I282" s="125"/>
      <c r="J282" s="125"/>
      <c r="K282" s="125"/>
      <c r="L282" s="125"/>
      <c r="M282" s="125"/>
      <c r="N282" s="125"/>
      <c r="O282" s="125"/>
      <c r="P282" s="4"/>
      <c r="Q282" s="125"/>
      <c r="R282" s="125"/>
      <c r="S282" s="125"/>
      <c r="T282" s="125"/>
      <c r="U282" s="125"/>
      <c r="V282" s="125"/>
      <c r="W282" s="125"/>
      <c r="X282" s="125"/>
      <c r="Y282" s="125"/>
      <c r="Z282" s="125"/>
      <c r="AA282" s="125"/>
      <c r="AB282" s="125"/>
    </row>
    <row r="283" spans="1:28" ht="15.75" customHeight="1">
      <c r="A283" s="125"/>
      <c r="B283" s="125"/>
      <c r="C283" s="125"/>
      <c r="D283" s="4"/>
      <c r="E283" s="125"/>
      <c r="F283" s="125"/>
      <c r="G283" s="125"/>
      <c r="H283" s="125"/>
      <c r="I283" s="125"/>
      <c r="J283" s="125"/>
      <c r="K283" s="125"/>
      <c r="L283" s="125"/>
      <c r="M283" s="125"/>
      <c r="N283" s="125"/>
      <c r="O283" s="125"/>
      <c r="P283" s="4"/>
      <c r="Q283" s="125"/>
      <c r="R283" s="125"/>
      <c r="S283" s="125"/>
      <c r="T283" s="125"/>
      <c r="U283" s="125"/>
      <c r="V283" s="125"/>
      <c r="W283" s="125"/>
      <c r="X283" s="125"/>
      <c r="Y283" s="125"/>
      <c r="Z283" s="125"/>
      <c r="AA283" s="125"/>
      <c r="AB283" s="125"/>
    </row>
    <row r="284" spans="1:28" ht="15.75" customHeight="1">
      <c r="A284" s="125"/>
      <c r="B284" s="125"/>
      <c r="C284" s="125"/>
      <c r="D284" s="4"/>
      <c r="E284" s="125"/>
      <c r="F284" s="125"/>
      <c r="G284" s="125"/>
      <c r="H284" s="125"/>
      <c r="I284" s="125"/>
      <c r="J284" s="125"/>
      <c r="K284" s="125"/>
      <c r="L284" s="125"/>
      <c r="M284" s="125"/>
      <c r="N284" s="125"/>
      <c r="O284" s="125"/>
      <c r="P284" s="4"/>
      <c r="Q284" s="125"/>
      <c r="R284" s="125"/>
      <c r="S284" s="125"/>
      <c r="T284" s="125"/>
      <c r="U284" s="125"/>
      <c r="V284" s="125"/>
      <c r="W284" s="125"/>
      <c r="X284" s="125"/>
      <c r="Y284" s="125"/>
      <c r="Z284" s="125"/>
      <c r="AA284" s="125"/>
      <c r="AB284" s="125"/>
    </row>
    <row r="285" spans="1:28" ht="15.75" customHeight="1">
      <c r="A285" s="125"/>
      <c r="B285" s="125"/>
      <c r="C285" s="125"/>
      <c r="D285" s="4"/>
      <c r="E285" s="125"/>
      <c r="F285" s="125"/>
      <c r="G285" s="125"/>
      <c r="H285" s="125"/>
      <c r="I285" s="125"/>
      <c r="J285" s="125"/>
      <c r="K285" s="125"/>
      <c r="L285" s="125"/>
      <c r="M285" s="125"/>
      <c r="N285" s="125"/>
      <c r="O285" s="125"/>
      <c r="P285" s="4"/>
      <c r="Q285" s="125"/>
      <c r="R285" s="125"/>
      <c r="S285" s="125"/>
      <c r="T285" s="125"/>
      <c r="U285" s="125"/>
      <c r="V285" s="125"/>
      <c r="W285" s="125"/>
      <c r="X285" s="125"/>
      <c r="Y285" s="125"/>
      <c r="Z285" s="125"/>
      <c r="AA285" s="125"/>
      <c r="AB285" s="125"/>
    </row>
    <row r="286" spans="1:28" ht="15.75" customHeight="1">
      <c r="A286" s="125"/>
      <c r="B286" s="125"/>
      <c r="C286" s="125"/>
      <c r="D286" s="4"/>
      <c r="E286" s="125"/>
      <c r="F286" s="125"/>
      <c r="G286" s="125"/>
      <c r="H286" s="125"/>
      <c r="I286" s="125"/>
      <c r="J286" s="125"/>
      <c r="K286" s="125"/>
      <c r="L286" s="125"/>
      <c r="M286" s="125"/>
      <c r="N286" s="125"/>
      <c r="O286" s="125"/>
      <c r="P286" s="4"/>
      <c r="Q286" s="125"/>
      <c r="R286" s="125"/>
      <c r="S286" s="125"/>
      <c r="T286" s="125"/>
      <c r="U286" s="125"/>
      <c r="V286" s="125"/>
      <c r="W286" s="125"/>
      <c r="X286" s="125"/>
      <c r="Y286" s="125"/>
      <c r="Z286" s="125"/>
      <c r="AA286" s="125"/>
      <c r="AB286" s="125"/>
    </row>
    <row r="287" spans="1:28" ht="15.75" customHeight="1">
      <c r="A287" s="125"/>
      <c r="B287" s="125"/>
      <c r="C287" s="125"/>
      <c r="D287" s="4"/>
      <c r="E287" s="125"/>
      <c r="F287" s="125"/>
      <c r="G287" s="125"/>
      <c r="H287" s="125"/>
      <c r="I287" s="125"/>
      <c r="J287" s="125"/>
      <c r="K287" s="125"/>
      <c r="L287" s="125"/>
      <c r="M287" s="125"/>
      <c r="N287" s="125"/>
      <c r="O287" s="125"/>
      <c r="P287" s="4"/>
      <c r="Q287" s="125"/>
      <c r="R287" s="125"/>
      <c r="S287" s="125"/>
      <c r="T287" s="125"/>
      <c r="U287" s="125"/>
      <c r="V287" s="125"/>
      <c r="W287" s="125"/>
      <c r="X287" s="125"/>
      <c r="Y287" s="125"/>
      <c r="Z287" s="125"/>
      <c r="AA287" s="125"/>
      <c r="AB287" s="125"/>
    </row>
    <row r="288" spans="1:28" ht="15.75" customHeight="1">
      <c r="A288" s="125"/>
      <c r="B288" s="125"/>
      <c r="C288" s="125"/>
      <c r="D288" s="4"/>
      <c r="E288" s="125"/>
      <c r="F288" s="125"/>
      <c r="G288" s="125"/>
      <c r="H288" s="125"/>
      <c r="I288" s="125"/>
      <c r="J288" s="125"/>
      <c r="K288" s="125"/>
      <c r="L288" s="125"/>
      <c r="M288" s="125"/>
      <c r="N288" s="125"/>
      <c r="O288" s="125"/>
      <c r="P288" s="4"/>
      <c r="Q288" s="125"/>
      <c r="R288" s="125"/>
      <c r="S288" s="125"/>
      <c r="T288" s="125"/>
      <c r="U288" s="125"/>
      <c r="V288" s="125"/>
      <c r="W288" s="125"/>
      <c r="X288" s="125"/>
      <c r="Y288" s="125"/>
      <c r="Z288" s="125"/>
      <c r="AA288" s="125"/>
      <c r="AB288" s="125"/>
    </row>
    <row r="289" spans="1:28" ht="15.75" customHeight="1">
      <c r="A289" s="125"/>
      <c r="B289" s="125"/>
      <c r="C289" s="125"/>
      <c r="D289" s="4"/>
      <c r="E289" s="125"/>
      <c r="F289" s="125"/>
      <c r="G289" s="125"/>
      <c r="H289" s="125"/>
      <c r="I289" s="125"/>
      <c r="J289" s="125"/>
      <c r="K289" s="125"/>
      <c r="L289" s="125"/>
      <c r="M289" s="125"/>
      <c r="N289" s="125"/>
      <c r="O289" s="125"/>
      <c r="P289" s="4"/>
      <c r="Q289" s="125"/>
      <c r="R289" s="125"/>
      <c r="S289" s="125"/>
      <c r="T289" s="125"/>
      <c r="U289" s="125"/>
      <c r="V289" s="125"/>
      <c r="W289" s="125"/>
      <c r="X289" s="125"/>
      <c r="Y289" s="125"/>
      <c r="Z289" s="125"/>
      <c r="AA289" s="125"/>
      <c r="AB289" s="125"/>
    </row>
    <row r="290" spans="1:28" ht="15.75" customHeight="1">
      <c r="A290" s="125"/>
      <c r="B290" s="125"/>
      <c r="C290" s="125"/>
      <c r="D290" s="4"/>
      <c r="E290" s="125"/>
      <c r="F290" s="125"/>
      <c r="G290" s="125"/>
      <c r="H290" s="125"/>
      <c r="I290" s="125"/>
      <c r="J290" s="125"/>
      <c r="K290" s="125"/>
      <c r="L290" s="125"/>
      <c r="M290" s="125"/>
      <c r="N290" s="125"/>
      <c r="O290" s="125"/>
      <c r="P290" s="4"/>
      <c r="Q290" s="125"/>
      <c r="R290" s="125"/>
      <c r="S290" s="125"/>
      <c r="T290" s="125"/>
      <c r="U290" s="125"/>
      <c r="V290" s="125"/>
      <c r="W290" s="125"/>
      <c r="X290" s="125"/>
      <c r="Y290" s="125"/>
      <c r="Z290" s="125"/>
      <c r="AA290" s="125"/>
      <c r="AB290" s="125"/>
    </row>
    <row r="291" spans="1:28" ht="15.75" customHeight="1">
      <c r="A291" s="125"/>
      <c r="B291" s="125"/>
      <c r="C291" s="125"/>
      <c r="D291" s="4"/>
      <c r="E291" s="125"/>
      <c r="F291" s="125"/>
      <c r="G291" s="125"/>
      <c r="H291" s="125"/>
      <c r="I291" s="125"/>
      <c r="J291" s="125"/>
      <c r="K291" s="125"/>
      <c r="L291" s="125"/>
      <c r="M291" s="125"/>
      <c r="N291" s="125"/>
      <c r="O291" s="125"/>
      <c r="P291" s="4"/>
      <c r="Q291" s="125"/>
      <c r="R291" s="125"/>
      <c r="S291" s="125"/>
      <c r="T291" s="125"/>
      <c r="U291" s="125"/>
      <c r="V291" s="125"/>
      <c r="W291" s="125"/>
      <c r="X291" s="125"/>
      <c r="Y291" s="125"/>
      <c r="Z291" s="125"/>
      <c r="AA291" s="125"/>
      <c r="AB291" s="125"/>
    </row>
    <row r="292" spans="1:28" ht="15.75" customHeight="1">
      <c r="A292" s="125"/>
      <c r="B292" s="125"/>
      <c r="C292" s="125"/>
      <c r="D292" s="4"/>
      <c r="E292" s="125"/>
      <c r="F292" s="125"/>
      <c r="G292" s="125"/>
      <c r="H292" s="125"/>
      <c r="I292" s="125"/>
      <c r="J292" s="125"/>
      <c r="K292" s="125"/>
      <c r="L292" s="125"/>
      <c r="M292" s="125"/>
      <c r="N292" s="125"/>
      <c r="O292" s="125"/>
      <c r="P292" s="4"/>
      <c r="Q292" s="125"/>
      <c r="R292" s="125"/>
      <c r="S292" s="125"/>
      <c r="T292" s="125"/>
      <c r="U292" s="125"/>
      <c r="V292" s="125"/>
      <c r="W292" s="125"/>
      <c r="X292" s="125"/>
      <c r="Y292" s="125"/>
      <c r="Z292" s="125"/>
      <c r="AA292" s="125"/>
      <c r="AB292" s="125"/>
    </row>
    <row r="293" spans="1:28" ht="15.75" customHeight="1">
      <c r="A293" s="125"/>
      <c r="B293" s="125"/>
      <c r="C293" s="125"/>
      <c r="D293" s="4"/>
      <c r="E293" s="125"/>
      <c r="F293" s="125"/>
      <c r="G293" s="125"/>
      <c r="H293" s="125"/>
      <c r="I293" s="125"/>
      <c r="J293" s="125"/>
      <c r="K293" s="125"/>
      <c r="L293" s="125"/>
      <c r="M293" s="125"/>
      <c r="N293" s="125"/>
      <c r="O293" s="125"/>
      <c r="P293" s="4"/>
      <c r="Q293" s="125"/>
      <c r="R293" s="125"/>
      <c r="S293" s="125"/>
      <c r="T293" s="125"/>
      <c r="U293" s="125"/>
      <c r="V293" s="125"/>
      <c r="W293" s="125"/>
      <c r="X293" s="125"/>
      <c r="Y293" s="125"/>
      <c r="Z293" s="125"/>
      <c r="AA293" s="125"/>
      <c r="AB293" s="125"/>
    </row>
    <row r="294" spans="1:28" ht="15.75" customHeight="1">
      <c r="A294" s="125"/>
      <c r="B294" s="125"/>
      <c r="C294" s="125"/>
      <c r="D294" s="4"/>
      <c r="E294" s="125"/>
      <c r="F294" s="125"/>
      <c r="G294" s="125"/>
      <c r="H294" s="125"/>
      <c r="I294" s="125"/>
      <c r="J294" s="125"/>
      <c r="K294" s="125"/>
      <c r="L294" s="125"/>
      <c r="M294" s="125"/>
      <c r="N294" s="125"/>
      <c r="O294" s="125"/>
      <c r="P294" s="4"/>
      <c r="Q294" s="125"/>
      <c r="R294" s="125"/>
      <c r="S294" s="125"/>
      <c r="T294" s="125"/>
      <c r="U294" s="125"/>
      <c r="V294" s="125"/>
      <c r="W294" s="125"/>
      <c r="X294" s="125"/>
      <c r="Y294" s="125"/>
      <c r="Z294" s="125"/>
      <c r="AA294" s="125"/>
      <c r="AB294" s="125"/>
    </row>
    <row r="295" spans="1:28" ht="15.75" customHeight="1">
      <c r="A295" s="125"/>
      <c r="B295" s="125"/>
      <c r="C295" s="125"/>
      <c r="D295" s="4"/>
      <c r="E295" s="125"/>
      <c r="F295" s="125"/>
      <c r="G295" s="125"/>
      <c r="H295" s="125"/>
      <c r="I295" s="125"/>
      <c r="J295" s="125"/>
      <c r="K295" s="125"/>
      <c r="L295" s="125"/>
      <c r="M295" s="125"/>
      <c r="N295" s="125"/>
      <c r="O295" s="125"/>
      <c r="P295" s="4"/>
      <c r="Q295" s="125"/>
      <c r="R295" s="125"/>
      <c r="S295" s="125"/>
      <c r="T295" s="125"/>
      <c r="U295" s="125"/>
      <c r="V295" s="125"/>
      <c r="W295" s="125"/>
      <c r="X295" s="125"/>
      <c r="Y295" s="125"/>
      <c r="Z295" s="125"/>
      <c r="AA295" s="125"/>
      <c r="AB295" s="125"/>
    </row>
    <row r="296" spans="1:28" ht="15.75" customHeight="1">
      <c r="A296" s="125"/>
      <c r="B296" s="125"/>
      <c r="C296" s="125"/>
      <c r="D296" s="4"/>
      <c r="E296" s="125"/>
      <c r="F296" s="125"/>
      <c r="G296" s="125"/>
      <c r="H296" s="125"/>
      <c r="I296" s="125"/>
      <c r="J296" s="125"/>
      <c r="K296" s="125"/>
      <c r="L296" s="125"/>
      <c r="M296" s="125"/>
      <c r="N296" s="125"/>
      <c r="O296" s="125"/>
      <c r="P296" s="4"/>
      <c r="Q296" s="125"/>
      <c r="R296" s="125"/>
      <c r="S296" s="125"/>
      <c r="T296" s="125"/>
      <c r="U296" s="125"/>
      <c r="V296" s="125"/>
      <c r="W296" s="125"/>
      <c r="X296" s="125"/>
      <c r="Y296" s="125"/>
      <c r="Z296" s="125"/>
      <c r="AA296" s="125"/>
      <c r="AB296" s="125"/>
    </row>
    <row r="297" spans="1:28" ht="15.75" customHeight="1">
      <c r="A297" s="125"/>
      <c r="B297" s="125"/>
      <c r="C297" s="125"/>
      <c r="D297" s="4"/>
      <c r="E297" s="125"/>
      <c r="F297" s="125"/>
      <c r="G297" s="125"/>
      <c r="H297" s="125"/>
      <c r="I297" s="125"/>
      <c r="J297" s="125"/>
      <c r="K297" s="125"/>
      <c r="L297" s="125"/>
      <c r="M297" s="125"/>
      <c r="N297" s="125"/>
      <c r="O297" s="125"/>
      <c r="P297" s="4"/>
      <c r="Q297" s="125"/>
      <c r="R297" s="125"/>
      <c r="S297" s="125"/>
      <c r="T297" s="125"/>
      <c r="U297" s="125"/>
      <c r="V297" s="125"/>
      <c r="W297" s="125"/>
      <c r="X297" s="125"/>
      <c r="Y297" s="125"/>
      <c r="Z297" s="125"/>
      <c r="AA297" s="125"/>
      <c r="AB297" s="125"/>
    </row>
    <row r="298" spans="1:28" ht="15.75" customHeight="1">
      <c r="A298" s="125"/>
      <c r="B298" s="125"/>
      <c r="C298" s="125"/>
      <c r="D298" s="4"/>
      <c r="E298" s="125"/>
      <c r="F298" s="125"/>
      <c r="G298" s="125"/>
      <c r="H298" s="125"/>
      <c r="I298" s="125"/>
      <c r="J298" s="125"/>
      <c r="K298" s="125"/>
      <c r="L298" s="125"/>
      <c r="M298" s="125"/>
      <c r="N298" s="125"/>
      <c r="O298" s="125"/>
      <c r="P298" s="4"/>
      <c r="Q298" s="125"/>
      <c r="R298" s="125"/>
      <c r="S298" s="125"/>
      <c r="T298" s="125"/>
      <c r="U298" s="125"/>
      <c r="V298" s="125"/>
      <c r="W298" s="125"/>
      <c r="X298" s="125"/>
      <c r="Y298" s="125"/>
      <c r="Z298" s="125"/>
      <c r="AA298" s="125"/>
      <c r="AB298" s="125"/>
    </row>
    <row r="299" spans="1:28" ht="15.75" customHeight="1">
      <c r="A299" s="125"/>
      <c r="B299" s="125"/>
      <c r="C299" s="125"/>
      <c r="D299" s="4"/>
      <c r="E299" s="125"/>
      <c r="F299" s="125"/>
      <c r="G299" s="125"/>
      <c r="H299" s="125"/>
      <c r="I299" s="125"/>
      <c r="J299" s="125"/>
      <c r="K299" s="125"/>
      <c r="L299" s="125"/>
      <c r="M299" s="125"/>
      <c r="N299" s="125"/>
      <c r="O299" s="125"/>
      <c r="P299" s="4"/>
      <c r="Q299" s="125"/>
      <c r="R299" s="125"/>
      <c r="S299" s="125"/>
      <c r="T299" s="125"/>
      <c r="U299" s="125"/>
      <c r="V299" s="125"/>
      <c r="W299" s="125"/>
      <c r="X299" s="125"/>
      <c r="Y299" s="125"/>
      <c r="Z299" s="125"/>
      <c r="AA299" s="125"/>
      <c r="AB299" s="125"/>
    </row>
    <row r="300" spans="1:28" ht="15.75" customHeight="1">
      <c r="A300" s="125"/>
      <c r="B300" s="125"/>
      <c r="C300" s="125"/>
      <c r="D300" s="4"/>
      <c r="E300" s="125"/>
      <c r="F300" s="125"/>
      <c r="G300" s="125"/>
      <c r="H300" s="125"/>
      <c r="I300" s="125"/>
      <c r="J300" s="125"/>
      <c r="K300" s="125"/>
      <c r="L300" s="125"/>
      <c r="M300" s="125"/>
      <c r="N300" s="125"/>
      <c r="O300" s="125"/>
      <c r="P300" s="4"/>
      <c r="Q300" s="125"/>
      <c r="R300" s="125"/>
      <c r="S300" s="125"/>
      <c r="T300" s="125"/>
      <c r="U300" s="125"/>
      <c r="V300" s="125"/>
      <c r="W300" s="125"/>
      <c r="X300" s="125"/>
      <c r="Y300" s="125"/>
      <c r="Z300" s="125"/>
      <c r="AA300" s="125"/>
      <c r="AB300" s="125"/>
    </row>
    <row r="301" spans="1:28" ht="15.75" customHeight="1">
      <c r="A301" s="125"/>
      <c r="B301" s="125"/>
      <c r="C301" s="125"/>
      <c r="D301" s="4"/>
      <c r="E301" s="125"/>
      <c r="F301" s="125"/>
      <c r="G301" s="125"/>
      <c r="H301" s="125"/>
      <c r="I301" s="125"/>
      <c r="J301" s="125"/>
      <c r="K301" s="125"/>
      <c r="L301" s="125"/>
      <c r="M301" s="125"/>
      <c r="N301" s="125"/>
      <c r="O301" s="125"/>
      <c r="P301" s="4"/>
      <c r="Q301" s="125"/>
      <c r="R301" s="125"/>
      <c r="S301" s="125"/>
      <c r="T301" s="125"/>
      <c r="U301" s="125"/>
      <c r="V301" s="125"/>
      <c r="W301" s="125"/>
      <c r="X301" s="125"/>
      <c r="Y301" s="125"/>
      <c r="Z301" s="125"/>
      <c r="AA301" s="125"/>
      <c r="AB301" s="125"/>
    </row>
    <row r="302" spans="1:28" ht="15.75" customHeight="1">
      <c r="A302" s="125"/>
      <c r="B302" s="125"/>
      <c r="C302" s="125"/>
      <c r="D302" s="4"/>
      <c r="E302" s="125"/>
      <c r="F302" s="125"/>
      <c r="G302" s="125"/>
      <c r="H302" s="125"/>
      <c r="I302" s="125"/>
      <c r="J302" s="125"/>
      <c r="K302" s="125"/>
      <c r="L302" s="125"/>
      <c r="M302" s="125"/>
      <c r="N302" s="125"/>
      <c r="O302" s="125"/>
      <c r="P302" s="4"/>
      <c r="Q302" s="125"/>
      <c r="R302" s="125"/>
      <c r="S302" s="125"/>
      <c r="T302" s="125"/>
      <c r="U302" s="125"/>
      <c r="V302" s="125"/>
      <c r="W302" s="125"/>
      <c r="X302" s="125"/>
      <c r="Y302" s="125"/>
      <c r="Z302" s="125"/>
      <c r="AA302" s="125"/>
      <c r="AB302" s="125"/>
    </row>
    <row r="303" spans="1:28" ht="15.75" customHeight="1">
      <c r="A303" s="125"/>
      <c r="B303" s="125"/>
      <c r="C303" s="125"/>
      <c r="D303" s="4"/>
      <c r="E303" s="125"/>
      <c r="F303" s="125"/>
      <c r="G303" s="125"/>
      <c r="H303" s="125"/>
      <c r="I303" s="125"/>
      <c r="J303" s="125"/>
      <c r="K303" s="125"/>
      <c r="L303" s="125"/>
      <c r="M303" s="125"/>
      <c r="N303" s="125"/>
      <c r="O303" s="125"/>
      <c r="P303" s="4"/>
      <c r="Q303" s="125"/>
      <c r="R303" s="125"/>
      <c r="S303" s="125"/>
      <c r="T303" s="125"/>
      <c r="U303" s="125"/>
      <c r="V303" s="125"/>
      <c r="W303" s="125"/>
      <c r="X303" s="125"/>
      <c r="Y303" s="125"/>
      <c r="Z303" s="125"/>
      <c r="AA303" s="125"/>
      <c r="AB303" s="125"/>
    </row>
    <row r="304" spans="1:28" ht="15.75" customHeight="1">
      <c r="A304" s="125"/>
      <c r="B304" s="125"/>
      <c r="C304" s="125"/>
      <c r="D304" s="4"/>
      <c r="E304" s="125"/>
      <c r="F304" s="125"/>
      <c r="G304" s="125"/>
      <c r="H304" s="125"/>
      <c r="I304" s="125"/>
      <c r="J304" s="125"/>
      <c r="K304" s="125"/>
      <c r="L304" s="125"/>
      <c r="M304" s="125"/>
      <c r="N304" s="125"/>
      <c r="O304" s="125"/>
      <c r="P304" s="4"/>
      <c r="Q304" s="125"/>
      <c r="R304" s="125"/>
      <c r="S304" s="125"/>
      <c r="T304" s="125"/>
      <c r="U304" s="125"/>
      <c r="V304" s="125"/>
      <c r="W304" s="125"/>
      <c r="X304" s="125"/>
      <c r="Y304" s="125"/>
      <c r="Z304" s="125"/>
      <c r="AA304" s="125"/>
      <c r="AB304" s="125"/>
    </row>
    <row r="305" spans="1:28" ht="15.75" customHeight="1">
      <c r="A305" s="125"/>
      <c r="B305" s="125"/>
      <c r="C305" s="125"/>
      <c r="D305" s="4"/>
      <c r="E305" s="125"/>
      <c r="F305" s="125"/>
      <c r="G305" s="125"/>
      <c r="H305" s="125"/>
      <c r="I305" s="125"/>
      <c r="J305" s="125"/>
      <c r="K305" s="125"/>
      <c r="L305" s="125"/>
      <c r="M305" s="125"/>
      <c r="N305" s="125"/>
      <c r="O305" s="125"/>
      <c r="P305" s="4"/>
      <c r="Q305" s="125"/>
      <c r="R305" s="125"/>
      <c r="S305" s="125"/>
      <c r="T305" s="125"/>
      <c r="U305" s="125"/>
      <c r="V305" s="125"/>
      <c r="W305" s="125"/>
      <c r="X305" s="125"/>
      <c r="Y305" s="125"/>
      <c r="Z305" s="125"/>
      <c r="AA305" s="125"/>
      <c r="AB305" s="125"/>
    </row>
    <row r="306" spans="1:28" ht="15.75" customHeight="1">
      <c r="A306" s="125"/>
      <c r="B306" s="125"/>
      <c r="C306" s="125"/>
      <c r="D306" s="4"/>
      <c r="E306" s="125"/>
      <c r="F306" s="125"/>
      <c r="G306" s="125"/>
      <c r="H306" s="125"/>
      <c r="I306" s="125"/>
      <c r="J306" s="125"/>
      <c r="K306" s="125"/>
      <c r="L306" s="125"/>
      <c r="M306" s="125"/>
      <c r="N306" s="125"/>
      <c r="O306" s="125"/>
      <c r="P306" s="4"/>
      <c r="Q306" s="125"/>
      <c r="R306" s="125"/>
      <c r="S306" s="125"/>
      <c r="T306" s="125"/>
      <c r="U306" s="125"/>
      <c r="V306" s="125"/>
      <c r="W306" s="125"/>
      <c r="X306" s="125"/>
      <c r="Y306" s="125"/>
      <c r="Z306" s="125"/>
      <c r="AA306" s="125"/>
      <c r="AB306" s="125"/>
    </row>
    <row r="307" spans="1:28" ht="15.75" customHeight="1">
      <c r="A307" s="125"/>
      <c r="B307" s="125"/>
      <c r="C307" s="125"/>
      <c r="D307" s="4"/>
      <c r="E307" s="125"/>
      <c r="F307" s="125"/>
      <c r="G307" s="125"/>
      <c r="H307" s="125"/>
      <c r="I307" s="125"/>
      <c r="J307" s="125"/>
      <c r="K307" s="125"/>
      <c r="L307" s="125"/>
      <c r="M307" s="125"/>
      <c r="N307" s="125"/>
      <c r="O307" s="125"/>
      <c r="P307" s="4"/>
      <c r="Q307" s="125"/>
      <c r="R307" s="125"/>
      <c r="S307" s="125"/>
      <c r="T307" s="125"/>
      <c r="U307" s="125"/>
      <c r="V307" s="125"/>
      <c r="W307" s="125"/>
      <c r="X307" s="125"/>
      <c r="Y307" s="125"/>
      <c r="Z307" s="125"/>
      <c r="AA307" s="125"/>
      <c r="AB307" s="125"/>
    </row>
    <row r="308" spans="1:28" ht="15.75" customHeight="1">
      <c r="A308" s="125"/>
      <c r="B308" s="125"/>
      <c r="C308" s="125"/>
      <c r="D308" s="4"/>
      <c r="E308" s="125"/>
      <c r="F308" s="125"/>
      <c r="G308" s="125"/>
      <c r="H308" s="125"/>
      <c r="I308" s="125"/>
      <c r="J308" s="125"/>
      <c r="K308" s="125"/>
      <c r="L308" s="125"/>
      <c r="M308" s="125"/>
      <c r="N308" s="125"/>
      <c r="O308" s="125"/>
      <c r="P308" s="4"/>
      <c r="Q308" s="125"/>
      <c r="R308" s="125"/>
      <c r="S308" s="125"/>
      <c r="T308" s="125"/>
      <c r="U308" s="125"/>
      <c r="V308" s="125"/>
      <c r="W308" s="125"/>
      <c r="X308" s="125"/>
      <c r="Y308" s="125"/>
      <c r="Z308" s="125"/>
      <c r="AA308" s="125"/>
      <c r="AB308" s="125"/>
    </row>
    <row r="309" spans="1:28" ht="15.75" customHeight="1">
      <c r="A309" s="125"/>
      <c r="B309" s="125"/>
      <c r="C309" s="125"/>
      <c r="D309" s="4"/>
      <c r="E309" s="125"/>
      <c r="F309" s="125"/>
      <c r="G309" s="125"/>
      <c r="H309" s="125"/>
      <c r="I309" s="125"/>
      <c r="J309" s="125"/>
      <c r="K309" s="125"/>
      <c r="L309" s="125"/>
      <c r="M309" s="125"/>
      <c r="N309" s="125"/>
      <c r="O309" s="125"/>
      <c r="P309" s="4"/>
      <c r="Q309" s="125"/>
      <c r="R309" s="125"/>
      <c r="S309" s="125"/>
      <c r="T309" s="125"/>
      <c r="U309" s="125"/>
      <c r="V309" s="125"/>
      <c r="W309" s="125"/>
      <c r="X309" s="125"/>
      <c r="Y309" s="125"/>
      <c r="Z309" s="125"/>
      <c r="AA309" s="125"/>
      <c r="AB309" s="125"/>
    </row>
    <row r="310" spans="1:28" ht="15.75" customHeight="1">
      <c r="A310" s="125"/>
      <c r="B310" s="125"/>
      <c r="C310" s="125"/>
      <c r="D310" s="4"/>
      <c r="E310" s="125"/>
      <c r="F310" s="125"/>
      <c r="G310" s="125"/>
      <c r="H310" s="125"/>
      <c r="I310" s="125"/>
      <c r="J310" s="125"/>
      <c r="K310" s="125"/>
      <c r="L310" s="125"/>
      <c r="M310" s="125"/>
      <c r="N310" s="125"/>
      <c r="O310" s="125"/>
      <c r="P310" s="4"/>
      <c r="Q310" s="125"/>
      <c r="R310" s="125"/>
      <c r="S310" s="125"/>
      <c r="T310" s="125"/>
      <c r="U310" s="125"/>
      <c r="V310" s="125"/>
      <c r="W310" s="125"/>
      <c r="X310" s="125"/>
      <c r="Y310" s="125"/>
      <c r="Z310" s="125"/>
      <c r="AA310" s="125"/>
      <c r="AB310" s="125"/>
    </row>
    <row r="311" spans="1:28" ht="15.75" customHeight="1">
      <c r="A311" s="125"/>
      <c r="B311" s="125"/>
      <c r="C311" s="125"/>
      <c r="D311" s="4"/>
      <c r="E311" s="125"/>
      <c r="F311" s="125"/>
      <c r="G311" s="125"/>
      <c r="H311" s="125"/>
      <c r="I311" s="125"/>
      <c r="J311" s="125"/>
      <c r="K311" s="125"/>
      <c r="L311" s="125"/>
      <c r="M311" s="125"/>
      <c r="N311" s="125"/>
      <c r="O311" s="125"/>
      <c r="P311" s="4"/>
      <c r="Q311" s="125"/>
      <c r="R311" s="125"/>
      <c r="S311" s="125"/>
      <c r="T311" s="125"/>
      <c r="U311" s="125"/>
      <c r="V311" s="125"/>
      <c r="W311" s="125"/>
      <c r="X311" s="125"/>
      <c r="Y311" s="125"/>
      <c r="Z311" s="125"/>
      <c r="AA311" s="125"/>
      <c r="AB311" s="125"/>
    </row>
    <row r="312" spans="1:28" ht="15.75" customHeight="1">
      <c r="A312" s="125"/>
      <c r="B312" s="125"/>
      <c r="C312" s="125"/>
      <c r="D312" s="4"/>
      <c r="E312" s="125"/>
      <c r="F312" s="125"/>
      <c r="G312" s="125"/>
      <c r="H312" s="125"/>
      <c r="I312" s="125"/>
      <c r="J312" s="125"/>
      <c r="K312" s="125"/>
      <c r="L312" s="125"/>
      <c r="M312" s="125"/>
      <c r="N312" s="125"/>
      <c r="O312" s="125"/>
      <c r="P312" s="4"/>
      <c r="Q312" s="125"/>
      <c r="R312" s="125"/>
      <c r="S312" s="125"/>
      <c r="T312" s="125"/>
      <c r="U312" s="125"/>
      <c r="V312" s="125"/>
      <c r="W312" s="125"/>
      <c r="X312" s="125"/>
      <c r="Y312" s="125"/>
      <c r="Z312" s="125"/>
      <c r="AA312" s="125"/>
      <c r="AB312" s="125"/>
    </row>
    <row r="313" spans="1:28" ht="15.75" customHeight="1">
      <c r="A313" s="125"/>
      <c r="B313" s="125"/>
      <c r="C313" s="125"/>
      <c r="D313" s="4"/>
      <c r="E313" s="125"/>
      <c r="F313" s="125"/>
      <c r="G313" s="125"/>
      <c r="H313" s="125"/>
      <c r="I313" s="125"/>
      <c r="J313" s="125"/>
      <c r="K313" s="125"/>
      <c r="L313" s="125"/>
      <c r="M313" s="125"/>
      <c r="N313" s="125"/>
      <c r="O313" s="125"/>
      <c r="P313" s="4"/>
      <c r="Q313" s="125"/>
      <c r="R313" s="125"/>
      <c r="S313" s="125"/>
      <c r="T313" s="125"/>
      <c r="U313" s="125"/>
      <c r="V313" s="125"/>
      <c r="W313" s="125"/>
      <c r="X313" s="125"/>
      <c r="Y313" s="125"/>
      <c r="Z313" s="125"/>
      <c r="AA313" s="125"/>
      <c r="AB313" s="125"/>
    </row>
    <row r="314" spans="1:28" ht="15.75" customHeight="1">
      <c r="A314" s="125"/>
      <c r="B314" s="125"/>
      <c r="C314" s="125"/>
      <c r="D314" s="4"/>
      <c r="E314" s="125"/>
      <c r="F314" s="125"/>
      <c r="G314" s="125"/>
      <c r="H314" s="125"/>
      <c r="I314" s="125"/>
      <c r="J314" s="125"/>
      <c r="K314" s="125"/>
      <c r="L314" s="125"/>
      <c r="M314" s="125"/>
      <c r="N314" s="125"/>
      <c r="O314" s="125"/>
      <c r="P314" s="4"/>
      <c r="Q314" s="125"/>
      <c r="R314" s="125"/>
      <c r="S314" s="125"/>
      <c r="T314" s="125"/>
      <c r="U314" s="125"/>
      <c r="V314" s="125"/>
      <c r="W314" s="125"/>
      <c r="X314" s="125"/>
      <c r="Y314" s="125"/>
      <c r="Z314" s="125"/>
      <c r="AA314" s="125"/>
      <c r="AB314" s="125"/>
    </row>
    <row r="315" spans="1:28" ht="15.75" customHeight="1">
      <c r="A315" s="125"/>
      <c r="B315" s="125"/>
      <c r="C315" s="125"/>
      <c r="D315" s="4"/>
      <c r="E315" s="125"/>
      <c r="F315" s="125"/>
      <c r="G315" s="125"/>
      <c r="H315" s="125"/>
      <c r="I315" s="125"/>
      <c r="J315" s="125"/>
      <c r="K315" s="125"/>
      <c r="L315" s="125"/>
      <c r="M315" s="125"/>
      <c r="N315" s="125"/>
      <c r="O315" s="125"/>
      <c r="P315" s="4"/>
      <c r="Q315" s="125"/>
      <c r="R315" s="125"/>
      <c r="S315" s="125"/>
      <c r="T315" s="125"/>
      <c r="U315" s="125"/>
      <c r="V315" s="125"/>
      <c r="W315" s="125"/>
      <c r="X315" s="125"/>
      <c r="Y315" s="125"/>
      <c r="Z315" s="125"/>
      <c r="AA315" s="125"/>
      <c r="AB315" s="125"/>
    </row>
    <row r="316" spans="1:28" ht="15.75" customHeight="1">
      <c r="A316" s="125"/>
      <c r="B316" s="125"/>
      <c r="C316" s="125"/>
      <c r="D316" s="4"/>
      <c r="E316" s="125"/>
      <c r="F316" s="125"/>
      <c r="G316" s="125"/>
      <c r="H316" s="125"/>
      <c r="I316" s="125"/>
      <c r="J316" s="125"/>
      <c r="K316" s="125"/>
      <c r="L316" s="125"/>
      <c r="M316" s="125"/>
      <c r="N316" s="125"/>
      <c r="O316" s="125"/>
      <c r="P316" s="4"/>
      <c r="Q316" s="125"/>
      <c r="R316" s="125"/>
      <c r="S316" s="125"/>
      <c r="T316" s="125"/>
      <c r="U316" s="125"/>
      <c r="V316" s="125"/>
      <c r="W316" s="125"/>
      <c r="X316" s="125"/>
      <c r="Y316" s="125"/>
      <c r="Z316" s="125"/>
      <c r="AA316" s="125"/>
      <c r="AB316" s="125"/>
    </row>
    <row r="317" spans="1:28" ht="15.75" customHeight="1">
      <c r="A317" s="125"/>
      <c r="B317" s="125"/>
      <c r="C317" s="125"/>
      <c r="D317" s="4"/>
      <c r="E317" s="125"/>
      <c r="F317" s="125"/>
      <c r="G317" s="125"/>
      <c r="H317" s="125"/>
      <c r="I317" s="125"/>
      <c r="J317" s="125"/>
      <c r="K317" s="125"/>
      <c r="L317" s="125"/>
      <c r="M317" s="125"/>
      <c r="N317" s="125"/>
      <c r="O317" s="125"/>
      <c r="P317" s="4"/>
      <c r="Q317" s="125"/>
      <c r="R317" s="125"/>
      <c r="S317" s="125"/>
      <c r="T317" s="125"/>
      <c r="U317" s="125"/>
      <c r="V317" s="125"/>
      <c r="W317" s="125"/>
      <c r="X317" s="125"/>
      <c r="Y317" s="125"/>
      <c r="Z317" s="125"/>
      <c r="AA317" s="125"/>
      <c r="AB317" s="125"/>
    </row>
    <row r="318" spans="1:28" ht="15.75" customHeight="1">
      <c r="A318" s="125"/>
      <c r="B318" s="125"/>
      <c r="C318" s="125"/>
      <c r="D318" s="4"/>
      <c r="E318" s="125"/>
      <c r="F318" s="125"/>
      <c r="G318" s="125"/>
      <c r="H318" s="125"/>
      <c r="I318" s="125"/>
      <c r="J318" s="125"/>
      <c r="K318" s="125"/>
      <c r="L318" s="125"/>
      <c r="M318" s="125"/>
      <c r="N318" s="125"/>
      <c r="O318" s="125"/>
      <c r="P318" s="4"/>
      <c r="Q318" s="125"/>
      <c r="R318" s="125"/>
      <c r="S318" s="125"/>
      <c r="T318" s="125"/>
      <c r="U318" s="125"/>
      <c r="V318" s="125"/>
      <c r="W318" s="125"/>
      <c r="X318" s="125"/>
      <c r="Y318" s="125"/>
      <c r="Z318" s="125"/>
      <c r="AA318" s="125"/>
      <c r="AB318" s="125"/>
    </row>
    <row r="319" spans="1:28" ht="15.75" customHeight="1">
      <c r="A319" s="125"/>
      <c r="B319" s="125"/>
      <c r="C319" s="125"/>
      <c r="D319" s="4"/>
      <c r="E319" s="125"/>
      <c r="F319" s="125"/>
      <c r="G319" s="125"/>
      <c r="H319" s="125"/>
      <c r="I319" s="125"/>
      <c r="J319" s="125"/>
      <c r="K319" s="125"/>
      <c r="L319" s="125"/>
      <c r="M319" s="125"/>
      <c r="N319" s="125"/>
      <c r="O319" s="125"/>
      <c r="P319" s="4"/>
      <c r="Q319" s="125"/>
      <c r="R319" s="125"/>
      <c r="S319" s="125"/>
      <c r="T319" s="125"/>
      <c r="U319" s="125"/>
      <c r="V319" s="125"/>
      <c r="W319" s="125"/>
      <c r="X319" s="125"/>
      <c r="Y319" s="125"/>
      <c r="Z319" s="125"/>
      <c r="AA319" s="125"/>
      <c r="AB319" s="125"/>
    </row>
    <row r="320" spans="1:28" ht="15.75" customHeight="1">
      <c r="A320" s="125"/>
      <c r="B320" s="125"/>
      <c r="C320" s="125"/>
      <c r="D320" s="4"/>
      <c r="E320" s="125"/>
      <c r="F320" s="125"/>
      <c r="G320" s="125"/>
      <c r="H320" s="125"/>
      <c r="I320" s="125"/>
      <c r="J320" s="125"/>
      <c r="K320" s="125"/>
      <c r="L320" s="125"/>
      <c r="M320" s="125"/>
      <c r="N320" s="125"/>
      <c r="O320" s="125"/>
      <c r="P320" s="4"/>
      <c r="Q320" s="125"/>
      <c r="R320" s="125"/>
      <c r="S320" s="125"/>
      <c r="T320" s="125"/>
      <c r="U320" s="125"/>
      <c r="V320" s="125"/>
      <c r="W320" s="125"/>
      <c r="X320" s="125"/>
      <c r="Y320" s="125"/>
      <c r="Z320" s="125"/>
      <c r="AA320" s="125"/>
      <c r="AB320" s="125"/>
    </row>
    <row r="321" spans="1:28" ht="15.75" customHeight="1">
      <c r="A321" s="125"/>
      <c r="B321" s="125"/>
      <c r="C321" s="125"/>
      <c r="D321" s="4"/>
      <c r="E321" s="125"/>
      <c r="F321" s="125"/>
      <c r="G321" s="125"/>
      <c r="H321" s="125"/>
      <c r="I321" s="125"/>
      <c r="J321" s="125"/>
      <c r="K321" s="125"/>
      <c r="L321" s="125"/>
      <c r="M321" s="125"/>
      <c r="N321" s="125"/>
      <c r="O321" s="125"/>
      <c r="P321" s="4"/>
      <c r="Q321" s="125"/>
      <c r="R321" s="125"/>
      <c r="S321" s="125"/>
      <c r="T321" s="125"/>
      <c r="U321" s="125"/>
      <c r="V321" s="125"/>
      <c r="W321" s="125"/>
      <c r="X321" s="125"/>
      <c r="Y321" s="125"/>
      <c r="Z321" s="125"/>
      <c r="AA321" s="125"/>
      <c r="AB321" s="125"/>
    </row>
    <row r="322" spans="1:28" ht="15.75" customHeight="1">
      <c r="A322" s="125"/>
      <c r="B322" s="125"/>
      <c r="C322" s="125"/>
      <c r="D322" s="4"/>
      <c r="E322" s="125"/>
      <c r="F322" s="125"/>
      <c r="G322" s="125"/>
      <c r="H322" s="125"/>
      <c r="I322" s="125"/>
      <c r="J322" s="125"/>
      <c r="K322" s="125"/>
      <c r="L322" s="125"/>
      <c r="M322" s="125"/>
      <c r="N322" s="125"/>
      <c r="O322" s="125"/>
      <c r="P322" s="4"/>
      <c r="Q322" s="125"/>
      <c r="R322" s="125"/>
      <c r="S322" s="125"/>
      <c r="T322" s="125"/>
      <c r="U322" s="125"/>
      <c r="V322" s="125"/>
      <c r="W322" s="125"/>
      <c r="X322" s="125"/>
      <c r="Y322" s="125"/>
      <c r="Z322" s="125"/>
      <c r="AA322" s="125"/>
      <c r="AB322" s="125"/>
    </row>
    <row r="323" spans="1:28" ht="15.75" customHeight="1">
      <c r="A323" s="125"/>
      <c r="B323" s="125"/>
      <c r="C323" s="125"/>
      <c r="D323" s="4"/>
      <c r="E323" s="125"/>
      <c r="F323" s="125"/>
      <c r="G323" s="125"/>
      <c r="H323" s="125"/>
      <c r="I323" s="125"/>
      <c r="J323" s="125"/>
      <c r="K323" s="125"/>
      <c r="L323" s="125"/>
      <c r="M323" s="125"/>
      <c r="N323" s="125"/>
      <c r="O323" s="125"/>
      <c r="P323" s="4"/>
      <c r="Q323" s="125"/>
      <c r="R323" s="125"/>
      <c r="S323" s="125"/>
      <c r="T323" s="125"/>
      <c r="U323" s="125"/>
      <c r="V323" s="125"/>
      <c r="W323" s="125"/>
      <c r="X323" s="125"/>
      <c r="Y323" s="125"/>
      <c r="Z323" s="125"/>
      <c r="AA323" s="125"/>
      <c r="AB323" s="125"/>
    </row>
    <row r="324" spans="1:28" ht="15.75" customHeight="1">
      <c r="A324" s="125"/>
      <c r="B324" s="125"/>
      <c r="C324" s="125"/>
      <c r="D324" s="4"/>
      <c r="E324" s="125"/>
      <c r="F324" s="125"/>
      <c r="G324" s="125"/>
      <c r="H324" s="125"/>
      <c r="I324" s="125"/>
      <c r="J324" s="125"/>
      <c r="K324" s="125"/>
      <c r="L324" s="125"/>
      <c r="M324" s="125"/>
      <c r="N324" s="125"/>
      <c r="O324" s="125"/>
      <c r="P324" s="4"/>
      <c r="Q324" s="125"/>
      <c r="R324" s="125"/>
      <c r="S324" s="125"/>
      <c r="T324" s="125"/>
      <c r="U324" s="125"/>
      <c r="V324" s="125"/>
      <c r="W324" s="125"/>
      <c r="X324" s="125"/>
      <c r="Y324" s="125"/>
      <c r="Z324" s="125"/>
      <c r="AA324" s="125"/>
      <c r="AB324" s="125"/>
    </row>
    <row r="325" spans="1:28" ht="15.75" customHeight="1">
      <c r="A325" s="125"/>
      <c r="B325" s="125"/>
      <c r="C325" s="125"/>
      <c r="D325" s="4"/>
      <c r="E325" s="125"/>
      <c r="F325" s="125"/>
      <c r="G325" s="125"/>
      <c r="H325" s="125"/>
      <c r="I325" s="125"/>
      <c r="J325" s="125"/>
      <c r="K325" s="125"/>
      <c r="L325" s="125"/>
      <c r="M325" s="125"/>
      <c r="N325" s="125"/>
      <c r="O325" s="125"/>
      <c r="P325" s="4"/>
      <c r="Q325" s="125"/>
      <c r="R325" s="125"/>
      <c r="S325" s="125"/>
      <c r="T325" s="125"/>
      <c r="U325" s="125"/>
      <c r="V325" s="125"/>
      <c r="W325" s="125"/>
      <c r="X325" s="125"/>
      <c r="Y325" s="125"/>
      <c r="Z325" s="125"/>
      <c r="AA325" s="125"/>
      <c r="AB325" s="125"/>
    </row>
    <row r="326" spans="1:28" ht="15.75" customHeight="1">
      <c r="A326" s="125"/>
      <c r="B326" s="125"/>
      <c r="C326" s="125"/>
      <c r="D326" s="4"/>
      <c r="E326" s="125"/>
      <c r="F326" s="125"/>
      <c r="G326" s="125"/>
      <c r="H326" s="125"/>
      <c r="I326" s="125"/>
      <c r="J326" s="125"/>
      <c r="K326" s="125"/>
      <c r="L326" s="125"/>
      <c r="M326" s="125"/>
      <c r="N326" s="125"/>
      <c r="O326" s="125"/>
      <c r="P326" s="4"/>
      <c r="Q326" s="125"/>
      <c r="R326" s="125"/>
      <c r="S326" s="125"/>
      <c r="T326" s="125"/>
      <c r="U326" s="125"/>
      <c r="V326" s="125"/>
      <c r="W326" s="125"/>
      <c r="X326" s="125"/>
      <c r="Y326" s="125"/>
      <c r="Z326" s="125"/>
      <c r="AA326" s="125"/>
      <c r="AB326" s="125"/>
    </row>
    <row r="327" spans="1:28" ht="15.75" customHeight="1">
      <c r="A327" s="125"/>
      <c r="B327" s="125"/>
      <c r="C327" s="125"/>
      <c r="D327" s="4"/>
      <c r="E327" s="125"/>
      <c r="F327" s="125"/>
      <c r="G327" s="125"/>
      <c r="H327" s="125"/>
      <c r="I327" s="125"/>
      <c r="J327" s="125"/>
      <c r="K327" s="125"/>
      <c r="L327" s="125"/>
      <c r="M327" s="125"/>
      <c r="N327" s="125"/>
      <c r="O327" s="125"/>
      <c r="P327" s="4"/>
      <c r="Q327" s="125"/>
      <c r="R327" s="125"/>
      <c r="S327" s="125"/>
      <c r="T327" s="125"/>
      <c r="U327" s="125"/>
      <c r="V327" s="125"/>
      <c r="W327" s="125"/>
      <c r="X327" s="125"/>
      <c r="Y327" s="125"/>
      <c r="Z327" s="125"/>
      <c r="AA327" s="125"/>
      <c r="AB327" s="125"/>
    </row>
    <row r="328" spans="1:28" ht="15.75" customHeight="1">
      <c r="A328" s="125"/>
      <c r="B328" s="125"/>
      <c r="C328" s="125"/>
      <c r="D328" s="4"/>
      <c r="E328" s="125"/>
      <c r="F328" s="125"/>
      <c r="G328" s="125"/>
      <c r="H328" s="125"/>
      <c r="I328" s="125"/>
      <c r="J328" s="125"/>
      <c r="K328" s="125"/>
      <c r="L328" s="125"/>
      <c r="M328" s="125"/>
      <c r="N328" s="125"/>
      <c r="O328" s="125"/>
      <c r="P328" s="4"/>
      <c r="Q328" s="125"/>
      <c r="R328" s="125"/>
      <c r="S328" s="125"/>
      <c r="T328" s="125"/>
      <c r="U328" s="125"/>
      <c r="V328" s="125"/>
      <c r="W328" s="125"/>
      <c r="X328" s="125"/>
      <c r="Y328" s="125"/>
      <c r="Z328" s="125"/>
      <c r="AA328" s="125"/>
      <c r="AB328" s="125"/>
    </row>
    <row r="329" spans="1:28" ht="15.75" customHeight="1">
      <c r="A329" s="125"/>
      <c r="B329" s="125"/>
      <c r="C329" s="125"/>
      <c r="D329" s="4"/>
      <c r="E329" s="125"/>
      <c r="F329" s="125"/>
      <c r="G329" s="125"/>
      <c r="H329" s="125"/>
      <c r="I329" s="125"/>
      <c r="J329" s="125"/>
      <c r="K329" s="125"/>
      <c r="L329" s="125"/>
      <c r="M329" s="125"/>
      <c r="N329" s="125"/>
      <c r="O329" s="125"/>
      <c r="P329" s="4"/>
      <c r="Q329" s="125"/>
      <c r="R329" s="125"/>
      <c r="S329" s="125"/>
      <c r="T329" s="125"/>
      <c r="U329" s="125"/>
      <c r="V329" s="125"/>
      <c r="W329" s="125"/>
      <c r="X329" s="125"/>
      <c r="Y329" s="125"/>
      <c r="Z329" s="125"/>
      <c r="AA329" s="125"/>
      <c r="AB329" s="125"/>
    </row>
    <row r="330" spans="1:28" ht="15.75" customHeight="1">
      <c r="A330" s="125"/>
      <c r="B330" s="125"/>
      <c r="C330" s="125"/>
      <c r="D330" s="4"/>
      <c r="E330" s="125"/>
      <c r="F330" s="125"/>
      <c r="G330" s="125"/>
      <c r="H330" s="125"/>
      <c r="I330" s="125"/>
      <c r="J330" s="125"/>
      <c r="K330" s="125"/>
      <c r="L330" s="125"/>
      <c r="M330" s="125"/>
      <c r="N330" s="125"/>
      <c r="O330" s="125"/>
      <c r="P330" s="4"/>
      <c r="Q330" s="125"/>
      <c r="R330" s="125"/>
      <c r="S330" s="125"/>
      <c r="T330" s="125"/>
      <c r="U330" s="125"/>
      <c r="V330" s="125"/>
      <c r="W330" s="125"/>
      <c r="X330" s="125"/>
      <c r="Y330" s="125"/>
      <c r="Z330" s="125"/>
      <c r="AA330" s="125"/>
      <c r="AB330" s="125"/>
    </row>
    <row r="331" spans="1:28" ht="15.75" customHeight="1">
      <c r="A331" s="125"/>
      <c r="B331" s="125"/>
      <c r="C331" s="125"/>
      <c r="D331" s="4"/>
      <c r="E331" s="125"/>
      <c r="F331" s="125"/>
      <c r="G331" s="125"/>
      <c r="H331" s="125"/>
      <c r="I331" s="125"/>
      <c r="J331" s="125"/>
      <c r="K331" s="125"/>
      <c r="L331" s="125"/>
      <c r="M331" s="125"/>
      <c r="N331" s="125"/>
      <c r="O331" s="125"/>
      <c r="P331" s="4"/>
      <c r="Q331" s="125"/>
      <c r="R331" s="125"/>
      <c r="S331" s="125"/>
      <c r="T331" s="125"/>
      <c r="U331" s="125"/>
      <c r="V331" s="125"/>
      <c r="W331" s="125"/>
      <c r="X331" s="125"/>
      <c r="Y331" s="125"/>
      <c r="Z331" s="125"/>
      <c r="AA331" s="125"/>
      <c r="AB331" s="125"/>
    </row>
    <row r="332" spans="1:28" ht="15.75" customHeight="1">
      <c r="A332" s="125"/>
      <c r="B332" s="125"/>
      <c r="C332" s="125"/>
      <c r="D332" s="4"/>
      <c r="E332" s="125"/>
      <c r="F332" s="125"/>
      <c r="G332" s="125"/>
      <c r="H332" s="125"/>
      <c r="I332" s="125"/>
      <c r="J332" s="125"/>
      <c r="K332" s="125"/>
      <c r="L332" s="125"/>
      <c r="M332" s="125"/>
      <c r="N332" s="125"/>
      <c r="O332" s="125"/>
      <c r="P332" s="4"/>
      <c r="Q332" s="125"/>
      <c r="R332" s="125"/>
      <c r="S332" s="125"/>
      <c r="T332" s="125"/>
      <c r="U332" s="125"/>
      <c r="V332" s="125"/>
      <c r="W332" s="125"/>
      <c r="X332" s="125"/>
      <c r="Y332" s="125"/>
      <c r="Z332" s="125"/>
      <c r="AA332" s="125"/>
      <c r="AB332" s="125"/>
    </row>
    <row r="333" spans="1:28" ht="15.75" customHeight="1">
      <c r="A333" s="125"/>
      <c r="B333" s="125"/>
      <c r="C333" s="125"/>
      <c r="D333" s="4"/>
      <c r="E333" s="125"/>
      <c r="F333" s="125"/>
      <c r="G333" s="125"/>
      <c r="H333" s="125"/>
      <c r="I333" s="125"/>
      <c r="J333" s="125"/>
      <c r="K333" s="125"/>
      <c r="L333" s="125"/>
      <c r="M333" s="125"/>
      <c r="N333" s="125"/>
      <c r="O333" s="125"/>
      <c r="P333" s="4"/>
      <c r="Q333" s="125"/>
      <c r="R333" s="125"/>
      <c r="S333" s="125"/>
      <c r="T333" s="125"/>
      <c r="U333" s="125"/>
      <c r="V333" s="125"/>
      <c r="W333" s="125"/>
      <c r="X333" s="125"/>
      <c r="Y333" s="125"/>
      <c r="Z333" s="125"/>
      <c r="AA333" s="125"/>
      <c r="AB333" s="125"/>
    </row>
    <row r="334" spans="1:28" ht="15.75" customHeight="1">
      <c r="A334" s="125"/>
      <c r="B334" s="125"/>
      <c r="C334" s="125"/>
      <c r="D334" s="4"/>
      <c r="E334" s="125"/>
      <c r="F334" s="125"/>
      <c r="G334" s="125"/>
      <c r="H334" s="125"/>
      <c r="I334" s="125"/>
      <c r="J334" s="125"/>
      <c r="K334" s="125"/>
      <c r="L334" s="125"/>
      <c r="M334" s="125"/>
      <c r="N334" s="125"/>
      <c r="O334" s="125"/>
      <c r="P334" s="4"/>
      <c r="Q334" s="125"/>
      <c r="R334" s="125"/>
      <c r="S334" s="125"/>
      <c r="T334" s="125"/>
      <c r="U334" s="125"/>
      <c r="V334" s="125"/>
      <c r="W334" s="125"/>
      <c r="X334" s="125"/>
      <c r="Y334" s="125"/>
      <c r="Z334" s="125"/>
      <c r="AA334" s="125"/>
      <c r="AB334" s="125"/>
    </row>
    <row r="335" spans="1:28" ht="15.75" customHeight="1">
      <c r="A335" s="125"/>
      <c r="B335" s="125"/>
      <c r="C335" s="125"/>
      <c r="D335" s="4"/>
      <c r="E335" s="125"/>
      <c r="F335" s="125"/>
      <c r="G335" s="125"/>
      <c r="H335" s="125"/>
      <c r="I335" s="125"/>
      <c r="J335" s="125"/>
      <c r="K335" s="125"/>
      <c r="L335" s="125"/>
      <c r="M335" s="125"/>
      <c r="N335" s="125"/>
      <c r="O335" s="125"/>
      <c r="P335" s="4"/>
      <c r="Q335" s="125"/>
      <c r="R335" s="125"/>
      <c r="S335" s="125"/>
      <c r="T335" s="125"/>
      <c r="U335" s="125"/>
      <c r="V335" s="125"/>
      <c r="W335" s="125"/>
      <c r="X335" s="125"/>
      <c r="Y335" s="125"/>
      <c r="Z335" s="125"/>
      <c r="AA335" s="125"/>
      <c r="AB335" s="125"/>
    </row>
    <row r="336" spans="1:28" ht="15.75" customHeight="1">
      <c r="A336" s="125"/>
      <c r="B336" s="125"/>
      <c r="C336" s="125"/>
      <c r="D336" s="4"/>
      <c r="E336" s="125"/>
      <c r="F336" s="125"/>
      <c r="G336" s="125"/>
      <c r="H336" s="125"/>
      <c r="I336" s="125"/>
      <c r="J336" s="125"/>
      <c r="K336" s="125"/>
      <c r="L336" s="125"/>
      <c r="M336" s="125"/>
      <c r="N336" s="125"/>
      <c r="O336" s="125"/>
      <c r="P336" s="4"/>
      <c r="Q336" s="125"/>
      <c r="R336" s="125"/>
      <c r="S336" s="125"/>
      <c r="T336" s="125"/>
      <c r="U336" s="125"/>
      <c r="V336" s="125"/>
      <c r="W336" s="125"/>
      <c r="X336" s="125"/>
      <c r="Y336" s="125"/>
      <c r="Z336" s="125"/>
      <c r="AA336" s="125"/>
      <c r="AB336" s="125"/>
    </row>
    <row r="337" spans="1:28" ht="15.75" customHeight="1">
      <c r="A337" s="125"/>
      <c r="B337" s="125"/>
      <c r="C337" s="125"/>
      <c r="D337" s="4"/>
      <c r="E337" s="125"/>
      <c r="F337" s="125"/>
      <c r="G337" s="125"/>
      <c r="H337" s="125"/>
      <c r="I337" s="125"/>
      <c r="J337" s="125"/>
      <c r="K337" s="125"/>
      <c r="L337" s="125"/>
      <c r="M337" s="125"/>
      <c r="N337" s="125"/>
      <c r="O337" s="125"/>
      <c r="P337" s="4"/>
      <c r="Q337" s="125"/>
      <c r="R337" s="125"/>
      <c r="S337" s="125"/>
      <c r="T337" s="125"/>
      <c r="U337" s="125"/>
      <c r="V337" s="125"/>
      <c r="W337" s="125"/>
      <c r="X337" s="125"/>
      <c r="Y337" s="125"/>
      <c r="Z337" s="125"/>
      <c r="AA337" s="125"/>
      <c r="AB337" s="125"/>
    </row>
    <row r="338" spans="1:28" ht="15.75" customHeight="1">
      <c r="A338" s="125"/>
      <c r="B338" s="125"/>
      <c r="C338" s="125"/>
      <c r="D338" s="4"/>
      <c r="E338" s="125"/>
      <c r="F338" s="125"/>
      <c r="G338" s="125"/>
      <c r="H338" s="125"/>
      <c r="I338" s="125"/>
      <c r="J338" s="125"/>
      <c r="K338" s="125"/>
      <c r="L338" s="125"/>
      <c r="M338" s="125"/>
      <c r="N338" s="125"/>
      <c r="O338" s="125"/>
      <c r="P338" s="4"/>
      <c r="Q338" s="125"/>
      <c r="R338" s="125"/>
      <c r="S338" s="125"/>
      <c r="T338" s="125"/>
      <c r="U338" s="125"/>
      <c r="V338" s="125"/>
      <c r="W338" s="125"/>
      <c r="X338" s="125"/>
      <c r="Y338" s="125"/>
      <c r="Z338" s="125"/>
      <c r="AA338" s="125"/>
      <c r="AB338" s="125"/>
    </row>
    <row r="339" spans="1:28" ht="15.75" customHeight="1">
      <c r="A339" s="125"/>
      <c r="B339" s="125"/>
      <c r="C339" s="125"/>
      <c r="D339" s="4"/>
      <c r="E339" s="125"/>
      <c r="F339" s="125"/>
      <c r="G339" s="125"/>
      <c r="H339" s="125"/>
      <c r="I339" s="125"/>
      <c r="J339" s="125"/>
      <c r="K339" s="125"/>
      <c r="L339" s="125"/>
      <c r="M339" s="125"/>
      <c r="N339" s="125"/>
      <c r="O339" s="125"/>
      <c r="P339" s="4"/>
      <c r="Q339" s="125"/>
      <c r="R339" s="125"/>
      <c r="S339" s="125"/>
      <c r="T339" s="125"/>
      <c r="U339" s="125"/>
      <c r="V339" s="125"/>
      <c r="W339" s="125"/>
      <c r="X339" s="125"/>
      <c r="Y339" s="125"/>
      <c r="Z339" s="125"/>
      <c r="AA339" s="125"/>
      <c r="AB339" s="125"/>
    </row>
    <row r="340" spans="1:28" ht="15.75" customHeight="1">
      <c r="A340" s="125"/>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c r="AA340" s="125"/>
      <c r="AB340" s="125"/>
    </row>
    <row r="341" spans="1:28" ht="15.75" customHeight="1">
      <c r="A341" s="125"/>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c r="AA341" s="125"/>
      <c r="AB341" s="125"/>
    </row>
    <row r="342" spans="1:28" ht="15.75" customHeight="1">
      <c r="A342" s="125"/>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c r="AA342" s="125"/>
      <c r="AB342" s="125"/>
    </row>
    <row r="343" spans="1:28" ht="15.75" customHeight="1">
      <c r="A343" s="125"/>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c r="AA343" s="125"/>
      <c r="AB343" s="125"/>
    </row>
    <row r="344" spans="1:28" ht="15.75" customHeight="1">
      <c r="A344" s="125"/>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c r="AA344" s="125"/>
      <c r="AB344" s="125"/>
    </row>
    <row r="345" spans="1:28" ht="15.75" customHeight="1">
      <c r="A345" s="125"/>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c r="AA345" s="125"/>
      <c r="AB345" s="125"/>
    </row>
    <row r="346" spans="1:28" ht="15.75" customHeight="1">
      <c r="A346" s="125"/>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c r="AA346" s="125"/>
      <c r="AB346" s="125"/>
    </row>
    <row r="347" spans="1:28" ht="15.75" customHeight="1">
      <c r="A347" s="125"/>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c r="AA347" s="125"/>
      <c r="AB347" s="125"/>
    </row>
    <row r="348" spans="1:28" ht="15.75" customHeight="1">
      <c r="A348" s="125"/>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c r="AA348" s="125"/>
      <c r="AB348" s="125"/>
    </row>
    <row r="349" spans="1:28" ht="15.75" customHeight="1">
      <c r="A349" s="125"/>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c r="AA349" s="125"/>
      <c r="AB349" s="125"/>
    </row>
    <row r="350" spans="1:28" ht="15.75" customHeight="1">
      <c r="A350" s="125"/>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c r="AA350" s="125"/>
      <c r="AB350" s="125"/>
    </row>
    <row r="351" spans="1:28" ht="15.75" customHeight="1">
      <c r="A351" s="125"/>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c r="AA351" s="125"/>
      <c r="AB351" s="125"/>
    </row>
    <row r="352" spans="1:28" ht="15.75" customHeight="1">
      <c r="A352" s="125"/>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c r="AA352" s="125"/>
      <c r="AB352" s="125"/>
    </row>
    <row r="353" spans="1:28" ht="15.75" customHeight="1">
      <c r="A353" s="125"/>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c r="AA353" s="125"/>
      <c r="AB353" s="125"/>
    </row>
    <row r="354" spans="1:28" ht="15.75" customHeight="1">
      <c r="A354" s="125"/>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c r="AA354" s="125"/>
      <c r="AB354" s="125"/>
    </row>
    <row r="355" spans="1:28" ht="15.75" customHeight="1">
      <c r="A355" s="125"/>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c r="AA355" s="125"/>
      <c r="AB355" s="125"/>
    </row>
    <row r="356" spans="1:28" ht="15.75" customHeight="1">
      <c r="A356" s="125"/>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c r="AA356" s="125"/>
      <c r="AB356" s="125"/>
    </row>
    <row r="357" spans="1:28" ht="15.75" customHeight="1">
      <c r="A357" s="125"/>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c r="AA357" s="125"/>
      <c r="AB357" s="125"/>
    </row>
    <row r="358" spans="1:28" ht="15.75" customHeight="1">
      <c r="A358" s="125"/>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c r="AA358" s="125"/>
      <c r="AB358" s="125"/>
    </row>
    <row r="359" spans="1:28" ht="15.75" customHeight="1">
      <c r="A359" s="125"/>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c r="AA359" s="125"/>
      <c r="AB359" s="125"/>
    </row>
    <row r="360" spans="1:28" ht="15.75" customHeight="1">
      <c r="A360" s="125"/>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c r="AA360" s="125"/>
      <c r="AB360" s="125"/>
    </row>
    <row r="361" spans="1:28" ht="15.75" customHeight="1">
      <c r="A361" s="125"/>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c r="AA361" s="125"/>
      <c r="AB361" s="125"/>
    </row>
    <row r="362" spans="1:28" ht="15.75" customHeight="1">
      <c r="A362" s="125"/>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c r="AA362" s="125"/>
      <c r="AB362" s="125"/>
    </row>
    <row r="363" spans="1:28" ht="15.75" customHeight="1">
      <c r="A363" s="125"/>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c r="AA363" s="125"/>
      <c r="AB363" s="125"/>
    </row>
    <row r="364" spans="1:28" ht="15.75" customHeight="1">
      <c r="A364" s="125"/>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c r="AA364" s="125"/>
      <c r="AB364" s="125"/>
    </row>
    <row r="365" spans="1:28" ht="15.75" customHeight="1">
      <c r="A365" s="125"/>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c r="AA365" s="125"/>
      <c r="AB365" s="125"/>
    </row>
    <row r="366" spans="1:28" ht="15.75" customHeight="1">
      <c r="A366" s="125"/>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c r="AA366" s="125"/>
      <c r="AB366" s="125"/>
    </row>
    <row r="367" spans="1:28" ht="15.75" customHeight="1">
      <c r="A367" s="125"/>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c r="AA367" s="125"/>
      <c r="AB367" s="125"/>
    </row>
    <row r="368" spans="1:28" ht="15.75" customHeight="1">
      <c r="A368" s="125"/>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c r="AA368" s="125"/>
      <c r="AB368" s="125"/>
    </row>
    <row r="369" spans="1:28" ht="15.75" customHeight="1">
      <c r="A369" s="125"/>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c r="AA369" s="125"/>
      <c r="AB369" s="125"/>
    </row>
    <row r="370" spans="1:28" ht="15.75" customHeight="1">
      <c r="A370" s="125"/>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c r="AA370" s="125"/>
      <c r="AB370" s="125"/>
    </row>
    <row r="371" spans="1:28" ht="15.75" customHeight="1">
      <c r="A371" s="125"/>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c r="AA371" s="125"/>
      <c r="AB371" s="125"/>
    </row>
    <row r="372" spans="1:28" ht="15.75" customHeight="1">
      <c r="A372" s="125"/>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c r="AA372" s="125"/>
      <c r="AB372" s="125"/>
    </row>
    <row r="373" spans="1:28" ht="15.75" customHeight="1">
      <c r="A373" s="125"/>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c r="AA373" s="125"/>
      <c r="AB373" s="125"/>
    </row>
    <row r="374" spans="1:28" ht="15.75" customHeight="1">
      <c r="A374" s="125"/>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c r="AA374" s="125"/>
      <c r="AB374" s="125"/>
    </row>
    <row r="375" spans="1:28" ht="15.75" customHeight="1">
      <c r="A375" s="125"/>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c r="AA375" s="125"/>
      <c r="AB375" s="125"/>
    </row>
    <row r="376" spans="1:28" ht="15.75" customHeight="1">
      <c r="A376" s="125"/>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c r="AA376" s="125"/>
      <c r="AB376" s="125"/>
    </row>
    <row r="377" spans="1:28" ht="15.75" customHeight="1">
      <c r="A377" s="125"/>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c r="AA377" s="125"/>
      <c r="AB377" s="125"/>
    </row>
    <row r="378" spans="1:28" ht="15.75" customHeight="1">
      <c r="A378" s="125"/>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c r="AA378" s="125"/>
      <c r="AB378" s="125"/>
    </row>
    <row r="379" spans="1:28" ht="15.75" customHeight="1">
      <c r="A379" s="125"/>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c r="AA379" s="125"/>
      <c r="AB379" s="125"/>
    </row>
    <row r="380" spans="1:28" ht="15.75" customHeight="1">
      <c r="A380" s="125"/>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c r="AA380" s="125"/>
      <c r="AB380" s="125"/>
    </row>
    <row r="381" spans="1:28" ht="15.75" customHeight="1">
      <c r="A381" s="125"/>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c r="AA381" s="125"/>
      <c r="AB381" s="125"/>
    </row>
    <row r="382" spans="1:28" ht="15.75" customHeight="1">
      <c r="A382" s="125"/>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c r="AA382" s="125"/>
      <c r="AB382" s="125"/>
    </row>
    <row r="383" spans="1:28" ht="15.75" customHeight="1">
      <c r="A383" s="125"/>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c r="AA383" s="125"/>
      <c r="AB383" s="125"/>
    </row>
    <row r="384" spans="1:28" ht="15.75" customHeight="1">
      <c r="A384" s="125"/>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c r="AA384" s="125"/>
      <c r="AB384" s="125"/>
    </row>
    <row r="385" spans="1:28" ht="15.75" customHeight="1">
      <c r="A385" s="125"/>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c r="AA385" s="125"/>
      <c r="AB385" s="125"/>
    </row>
    <row r="386" spans="1:28" ht="15.75" customHeight="1">
      <c r="A386" s="125"/>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c r="AA386" s="125"/>
      <c r="AB386" s="125"/>
    </row>
    <row r="387" spans="1:28" ht="15.75" customHeight="1">
      <c r="A387" s="125"/>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c r="AA387" s="125"/>
      <c r="AB387" s="125"/>
    </row>
    <row r="388" spans="1:28" ht="15.75" customHeight="1">
      <c r="A388" s="125"/>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c r="AA388" s="125"/>
      <c r="AB388" s="125"/>
    </row>
    <row r="389" spans="1:28" ht="15.75" customHeight="1">
      <c r="A389" s="125"/>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c r="AA389" s="125"/>
      <c r="AB389" s="125"/>
    </row>
    <row r="390" spans="1:28" ht="15.75" customHeight="1">
      <c r="A390" s="125"/>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c r="AA390" s="125"/>
      <c r="AB390" s="125"/>
    </row>
    <row r="391" spans="1:28" ht="15.75" customHeight="1">
      <c r="A391" s="125"/>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c r="AA391" s="125"/>
      <c r="AB391" s="125"/>
    </row>
    <row r="392" spans="1:28" ht="15.75" customHeight="1">
      <c r="A392" s="125"/>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c r="AA392" s="125"/>
      <c r="AB392" s="125"/>
    </row>
    <row r="393" spans="1:28" ht="15.75" customHeight="1">
      <c r="A393" s="125"/>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c r="AA393" s="125"/>
      <c r="AB393" s="125"/>
    </row>
    <row r="394" spans="1:28" ht="15.75" customHeight="1">
      <c r="A394" s="125"/>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c r="AA394" s="125"/>
      <c r="AB394" s="125"/>
    </row>
    <row r="395" spans="1:28" ht="15.75" customHeight="1">
      <c r="A395" s="125"/>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c r="AA395" s="125"/>
      <c r="AB395" s="125"/>
    </row>
    <row r="396" spans="1:28" ht="15.75" customHeight="1">
      <c r="A396" s="125"/>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c r="AA396" s="125"/>
      <c r="AB396" s="125"/>
    </row>
    <row r="397" spans="1:28" ht="15.75" customHeight="1">
      <c r="A397" s="125"/>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c r="AA397" s="125"/>
      <c r="AB397" s="125"/>
    </row>
    <row r="398" spans="1:28" ht="15.75" customHeight="1">
      <c r="A398" s="125"/>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c r="AA398" s="125"/>
      <c r="AB398" s="125"/>
    </row>
    <row r="399" spans="1:28" ht="15.75" customHeight="1">
      <c r="A399" s="125"/>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c r="AA399" s="125"/>
      <c r="AB399" s="125"/>
    </row>
    <row r="400" spans="1:28" ht="15.75" customHeight="1">
      <c r="A400" s="125"/>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c r="AA400" s="125"/>
      <c r="AB400" s="125"/>
    </row>
    <row r="401" spans="1:28" ht="15.75" customHeight="1">
      <c r="A401" s="125"/>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c r="AA401" s="125"/>
      <c r="AB401" s="125"/>
    </row>
    <row r="402" spans="1:28" ht="15.75" customHeight="1">
      <c r="A402" s="125"/>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c r="AA402" s="125"/>
      <c r="AB402" s="125"/>
    </row>
    <row r="403" spans="1:28" ht="15.75" customHeight="1">
      <c r="A403" s="125"/>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c r="AA403" s="125"/>
      <c r="AB403" s="125"/>
    </row>
    <row r="404" spans="1:28" ht="15.75" customHeight="1">
      <c r="A404" s="125"/>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c r="AA404" s="125"/>
      <c r="AB404" s="125"/>
    </row>
    <row r="405" spans="1:28" ht="15.75" customHeight="1">
      <c r="A405" s="125"/>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c r="AA405" s="125"/>
      <c r="AB405" s="125"/>
    </row>
    <row r="406" spans="1:28" ht="15.75" customHeight="1">
      <c r="A406" s="125"/>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c r="AA406" s="125"/>
      <c r="AB406" s="125"/>
    </row>
    <row r="407" spans="1:28" ht="15.75" customHeight="1">
      <c r="A407" s="125"/>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c r="AA407" s="125"/>
      <c r="AB407" s="125"/>
    </row>
    <row r="408" spans="1:28" ht="15.75" customHeight="1">
      <c r="A408" s="125"/>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c r="AA408" s="125"/>
      <c r="AB408" s="125"/>
    </row>
    <row r="409" spans="1:28" ht="15.75" customHeight="1">
      <c r="A409" s="125"/>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c r="AA409" s="125"/>
      <c r="AB409" s="125"/>
    </row>
    <row r="410" spans="1:28" ht="15.75" customHeight="1">
      <c r="A410" s="125"/>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c r="AA410" s="125"/>
      <c r="AB410" s="125"/>
    </row>
    <row r="411" spans="1:28" ht="15.75" customHeight="1">
      <c r="A411" s="125"/>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c r="AA411" s="125"/>
      <c r="AB411" s="125"/>
    </row>
    <row r="412" spans="1:28" ht="15.75" customHeight="1">
      <c r="A412" s="125"/>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c r="AA412" s="125"/>
      <c r="AB412" s="125"/>
    </row>
    <row r="413" spans="1:28" ht="15.75" customHeight="1">
      <c r="A413" s="125"/>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c r="AA413" s="125"/>
      <c r="AB413" s="125"/>
    </row>
    <row r="414" spans="1:28" ht="15.75" customHeight="1">
      <c r="A414" s="125"/>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c r="AA414" s="125"/>
      <c r="AB414" s="125"/>
    </row>
    <row r="415" spans="1:28" ht="15.75" customHeight="1">
      <c r="A415" s="125"/>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c r="AA415" s="125"/>
      <c r="AB415" s="125"/>
    </row>
    <row r="416" spans="1:28" ht="15.75" customHeight="1">
      <c r="A416" s="125"/>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c r="AA416" s="125"/>
      <c r="AB416" s="125"/>
    </row>
    <row r="417" spans="1:28" ht="15.75" customHeight="1">
      <c r="A417" s="125"/>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c r="AA417" s="125"/>
      <c r="AB417" s="125"/>
    </row>
    <row r="418" spans="1:28" ht="15.75" customHeight="1">
      <c r="A418" s="125"/>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c r="AA418" s="125"/>
      <c r="AB418" s="125"/>
    </row>
    <row r="419" spans="1:28" ht="15.75" customHeight="1">
      <c r="A419" s="125"/>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c r="AA419" s="125"/>
      <c r="AB419" s="125"/>
    </row>
    <row r="420" spans="1:28" ht="15.75" customHeight="1">
      <c r="A420" s="125"/>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c r="AA420" s="125"/>
      <c r="AB420" s="125"/>
    </row>
    <row r="421" spans="1:28" ht="15.75" customHeight="1">
      <c r="A421" s="125"/>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c r="AA421" s="125"/>
      <c r="AB421" s="125"/>
    </row>
    <row r="422" spans="1:28" ht="15.75" customHeight="1">
      <c r="A422" s="125"/>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c r="AA422" s="125"/>
      <c r="AB422" s="125"/>
    </row>
    <row r="423" spans="1:28" ht="15.75" customHeight="1">
      <c r="A423" s="125"/>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c r="AA423" s="125"/>
      <c r="AB423" s="125"/>
    </row>
    <row r="424" spans="1:28" ht="15.75" customHeight="1">
      <c r="A424" s="125"/>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c r="AA424" s="125"/>
      <c r="AB424" s="125"/>
    </row>
    <row r="425" spans="1:28" ht="15.75" customHeight="1">
      <c r="A425" s="125"/>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c r="AA425" s="125"/>
      <c r="AB425" s="125"/>
    </row>
    <row r="426" spans="1:28" ht="15.75" customHeight="1">
      <c r="A426" s="125"/>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c r="AA426" s="125"/>
      <c r="AB426" s="125"/>
    </row>
    <row r="427" spans="1:28" ht="15.75" customHeight="1">
      <c r="A427" s="125"/>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c r="AA427" s="125"/>
      <c r="AB427" s="125"/>
    </row>
    <row r="428" spans="1:28" ht="15.75" customHeight="1">
      <c r="A428" s="125"/>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c r="AA428" s="125"/>
      <c r="AB428" s="125"/>
    </row>
    <row r="429" spans="1:28" ht="15.75" customHeight="1">
      <c r="A429" s="125"/>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c r="AA429" s="125"/>
      <c r="AB429" s="125"/>
    </row>
    <row r="430" spans="1:28" ht="15.75" customHeight="1">
      <c r="A430" s="125"/>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c r="AA430" s="125"/>
      <c r="AB430" s="125"/>
    </row>
    <row r="431" spans="1:28" ht="15.75" customHeight="1">
      <c r="A431" s="125"/>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c r="AA431" s="125"/>
      <c r="AB431" s="125"/>
    </row>
    <row r="432" spans="1:28" ht="15.75" customHeight="1">
      <c r="A432" s="125"/>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c r="AA432" s="125"/>
      <c r="AB432" s="125"/>
    </row>
    <row r="433" spans="1:28" ht="15.75" customHeight="1">
      <c r="A433" s="125"/>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c r="AA433" s="125"/>
      <c r="AB433" s="125"/>
    </row>
    <row r="434" spans="1:28" ht="15.75" customHeight="1">
      <c r="A434" s="125"/>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c r="AA434" s="125"/>
      <c r="AB434" s="125"/>
    </row>
    <row r="435" spans="1:28" ht="15.75" customHeight="1">
      <c r="A435" s="125"/>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c r="AA435" s="125"/>
      <c r="AB435" s="125"/>
    </row>
    <row r="436" spans="1:28" ht="15.75" customHeight="1">
      <c r="A436" s="125"/>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c r="AA436" s="125"/>
      <c r="AB436" s="125"/>
    </row>
    <row r="437" spans="1:28" ht="15.75" customHeight="1">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c r="AA437" s="125"/>
      <c r="AB437" s="125"/>
    </row>
    <row r="438" spans="1:28" ht="15.75" customHeight="1">
      <c r="A438" s="125"/>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c r="AA438" s="125"/>
      <c r="AB438" s="125"/>
    </row>
    <row r="439" spans="1:28" ht="15.75" customHeight="1">
      <c r="A439" s="125"/>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c r="AA439" s="125"/>
      <c r="AB439" s="125"/>
    </row>
    <row r="440" spans="1:28" ht="15.75" customHeight="1">
      <c r="A440" s="125"/>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c r="AA440" s="125"/>
      <c r="AB440" s="125"/>
    </row>
    <row r="441" spans="1:28" ht="15.75" customHeight="1">
      <c r="A441" s="125"/>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c r="AA441" s="125"/>
      <c r="AB441" s="125"/>
    </row>
    <row r="442" spans="1:28" ht="15.75" customHeight="1">
      <c r="A442" s="125"/>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c r="AA442" s="125"/>
      <c r="AB442" s="125"/>
    </row>
    <row r="443" spans="1:28" ht="15.75" customHeight="1">
      <c r="A443" s="125"/>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c r="AA443" s="125"/>
      <c r="AB443" s="125"/>
    </row>
    <row r="444" spans="1:28" ht="15.75" customHeight="1">
      <c r="A444" s="125"/>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c r="AA444" s="125"/>
      <c r="AB444" s="125"/>
    </row>
    <row r="445" spans="1:28" ht="15.75" customHeight="1">
      <c r="A445" s="125"/>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c r="AA445" s="125"/>
      <c r="AB445" s="125"/>
    </row>
    <row r="446" spans="1:28" ht="15.75" customHeight="1">
      <c r="A446" s="125"/>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c r="AA446" s="125"/>
      <c r="AB446" s="125"/>
    </row>
    <row r="447" spans="1:28" ht="15.75" customHeight="1">
      <c r="A447" s="125"/>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c r="AA447" s="125"/>
      <c r="AB447" s="125"/>
    </row>
    <row r="448" spans="1:28" ht="15.75" customHeight="1">
      <c r="A448" s="125"/>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c r="AA448" s="125"/>
      <c r="AB448" s="125"/>
    </row>
    <row r="449" spans="1:28" ht="15.75" customHeight="1">
      <c r="A449" s="125"/>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c r="AA449" s="125"/>
      <c r="AB449" s="125"/>
    </row>
    <row r="450" spans="1:28" ht="15.75" customHeight="1">
      <c r="A450" s="125"/>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c r="AA450" s="125"/>
      <c r="AB450" s="125"/>
    </row>
    <row r="451" spans="1:28" ht="15.75" customHeight="1">
      <c r="A451" s="125"/>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c r="AA451" s="125"/>
      <c r="AB451" s="125"/>
    </row>
    <row r="452" spans="1:28" ht="15.75" customHeight="1">
      <c r="A452" s="125"/>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c r="AA452" s="125"/>
      <c r="AB452" s="125"/>
    </row>
    <row r="453" spans="1:28" ht="15.75" customHeight="1">
      <c r="A453" s="125"/>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c r="AA453" s="125"/>
      <c r="AB453" s="125"/>
    </row>
    <row r="454" spans="1:28" ht="15.75" customHeight="1">
      <c r="A454" s="125"/>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c r="AA454" s="125"/>
      <c r="AB454" s="125"/>
    </row>
    <row r="455" spans="1:28" ht="15.75" customHeight="1">
      <c r="A455" s="125"/>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c r="AA455" s="125"/>
      <c r="AB455" s="125"/>
    </row>
    <row r="456" spans="1:28" ht="15.75" customHeight="1">
      <c r="A456" s="125"/>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c r="AA456" s="125"/>
      <c r="AB456" s="125"/>
    </row>
    <row r="457" spans="1:28" ht="15.75" customHeight="1">
      <c r="A457" s="125"/>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c r="AA457" s="125"/>
      <c r="AB457" s="125"/>
    </row>
    <row r="458" spans="1:28" ht="15.75" customHeight="1">
      <c r="A458" s="125"/>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c r="AA458" s="125"/>
      <c r="AB458" s="125"/>
    </row>
    <row r="459" spans="1:28" ht="15.75" customHeight="1">
      <c r="A459" s="125"/>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c r="AA459" s="125"/>
      <c r="AB459" s="125"/>
    </row>
    <row r="460" spans="1:28" ht="15.75" customHeight="1">
      <c r="A460" s="125"/>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c r="AA460" s="125"/>
      <c r="AB460" s="125"/>
    </row>
    <row r="461" spans="1:28" ht="15.75" customHeight="1">
      <c r="A461" s="125"/>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c r="AA461" s="125"/>
      <c r="AB461" s="125"/>
    </row>
    <row r="462" spans="1:28" ht="15.75" customHeight="1">
      <c r="A462" s="125"/>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c r="AA462" s="125"/>
      <c r="AB462" s="125"/>
    </row>
    <row r="463" spans="1:28" ht="15.75" customHeight="1">
      <c r="A463" s="125"/>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c r="AA463" s="125"/>
      <c r="AB463" s="125"/>
    </row>
    <row r="464" spans="1:28" ht="15.75" customHeight="1">
      <c r="A464" s="125"/>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c r="AA464" s="125"/>
      <c r="AB464" s="125"/>
    </row>
    <row r="465" spans="1:28" ht="15.75" customHeight="1">
      <c r="A465" s="125"/>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c r="AA465" s="125"/>
      <c r="AB465" s="125"/>
    </row>
    <row r="466" spans="1:28" ht="15.75" customHeight="1">
      <c r="A466" s="125"/>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c r="AA466" s="125"/>
      <c r="AB466" s="125"/>
    </row>
    <row r="467" spans="1:28" ht="15.75" customHeight="1">
      <c r="A467" s="125"/>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c r="AA467" s="125"/>
      <c r="AB467" s="125"/>
    </row>
    <row r="468" spans="1:28" ht="15.75" customHeight="1">
      <c r="A468" s="125"/>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c r="AA468" s="125"/>
      <c r="AB468" s="125"/>
    </row>
    <row r="469" spans="1:28" ht="15.75" customHeight="1">
      <c r="A469" s="125"/>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c r="AA469" s="125"/>
      <c r="AB469" s="125"/>
    </row>
    <row r="470" spans="1:28" ht="15.75" customHeight="1">
      <c r="A470" s="125"/>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c r="AA470" s="125"/>
      <c r="AB470" s="125"/>
    </row>
    <row r="471" spans="1:28" ht="15.75" customHeight="1">
      <c r="A471" s="125"/>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c r="AA471" s="125"/>
      <c r="AB471" s="125"/>
    </row>
    <row r="472" spans="1:28" ht="15.75" customHeight="1">
      <c r="A472" s="125"/>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c r="AA472" s="125"/>
      <c r="AB472" s="125"/>
    </row>
    <row r="473" spans="1:28" ht="15.75" customHeight="1">
      <c r="A473" s="125"/>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c r="AA473" s="125"/>
      <c r="AB473" s="125"/>
    </row>
    <row r="474" spans="1:28" ht="15.75" customHeight="1">
      <c r="A474" s="125"/>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c r="AA474" s="125"/>
      <c r="AB474" s="125"/>
    </row>
    <row r="475" spans="1:28" ht="15.75" customHeight="1">
      <c r="A475" s="125"/>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c r="AA475" s="125"/>
      <c r="AB475" s="125"/>
    </row>
    <row r="476" spans="1:28" ht="15.75" customHeight="1">
      <c r="A476" s="125"/>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c r="AA476" s="125"/>
      <c r="AB476" s="125"/>
    </row>
    <row r="477" spans="1:28" ht="15.75" customHeight="1">
      <c r="A477" s="125"/>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c r="AA477" s="125"/>
      <c r="AB477" s="125"/>
    </row>
    <row r="478" spans="1:28" ht="15.75" customHeight="1">
      <c r="A478" s="125"/>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c r="AA478" s="125"/>
      <c r="AB478" s="125"/>
    </row>
    <row r="479" spans="1:28" ht="15.75" customHeight="1">
      <c r="A479" s="125"/>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c r="AA479" s="125"/>
      <c r="AB479" s="125"/>
    </row>
    <row r="480" spans="1:28" ht="15.75" customHeight="1">
      <c r="A480" s="125"/>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c r="AA480" s="125"/>
      <c r="AB480" s="125"/>
    </row>
    <row r="481" spans="1:28" ht="15.75" customHeight="1">
      <c r="A481" s="125"/>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c r="AA481" s="125"/>
      <c r="AB481" s="125"/>
    </row>
    <row r="482" spans="1:28" ht="15.75" customHeight="1">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c r="AA482" s="125"/>
      <c r="AB482" s="125"/>
    </row>
    <row r="483" spans="1:28" ht="15.75" customHeight="1">
      <c r="A483" s="125"/>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c r="AA483" s="125"/>
      <c r="AB483" s="125"/>
    </row>
    <row r="484" spans="1:28" ht="15.75" customHeight="1">
      <c r="A484" s="125"/>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c r="AA484" s="125"/>
      <c r="AB484" s="125"/>
    </row>
    <row r="485" spans="1:28" ht="15.75" customHeight="1">
      <c r="A485" s="125"/>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c r="AA485" s="125"/>
      <c r="AB485" s="125"/>
    </row>
    <row r="486" spans="1:28" ht="15.75" customHeight="1">
      <c r="A486" s="125"/>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c r="AA486" s="125"/>
      <c r="AB486" s="125"/>
    </row>
    <row r="487" spans="1:28" ht="15.75" customHeight="1">
      <c r="A487" s="125"/>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c r="AA487" s="125"/>
      <c r="AB487" s="125"/>
    </row>
    <row r="488" spans="1:28" ht="15.75" customHeight="1">
      <c r="A488" s="125"/>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c r="AA488" s="125"/>
      <c r="AB488" s="125"/>
    </row>
    <row r="489" spans="1:28" ht="15.75" customHeight="1">
      <c r="A489" s="125"/>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c r="AA489" s="125"/>
      <c r="AB489" s="125"/>
    </row>
    <row r="490" spans="1:28" ht="15.75" customHeight="1">
      <c r="A490" s="125"/>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c r="AA490" s="125"/>
      <c r="AB490" s="125"/>
    </row>
    <row r="491" spans="1:28" ht="15.75" customHeight="1">
      <c r="A491" s="125"/>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c r="AA491" s="125"/>
      <c r="AB491" s="125"/>
    </row>
    <row r="492" spans="1:28" ht="15.75" customHeight="1">
      <c r="A492" s="125"/>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c r="AA492" s="125"/>
      <c r="AB492" s="125"/>
    </row>
    <row r="493" spans="1:28" ht="15.75" customHeight="1">
      <c r="A493" s="125"/>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c r="AA493" s="125"/>
      <c r="AB493" s="125"/>
    </row>
    <row r="494" spans="1:28" ht="15.75" customHeight="1">
      <c r="A494" s="125"/>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c r="AA494" s="125"/>
      <c r="AB494" s="125"/>
    </row>
    <row r="495" spans="1:28" ht="15.75" customHeight="1">
      <c r="A495" s="125"/>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c r="AA495" s="125"/>
      <c r="AB495" s="125"/>
    </row>
    <row r="496" spans="1:28" ht="15.75" customHeight="1">
      <c r="A496" s="125"/>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c r="AA496" s="125"/>
      <c r="AB496" s="125"/>
    </row>
    <row r="497" spans="1:28" ht="15.75" customHeight="1">
      <c r="A497" s="125"/>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c r="AA497" s="125"/>
      <c r="AB497" s="125"/>
    </row>
    <row r="498" spans="1:28" ht="15.75" customHeight="1">
      <c r="A498" s="125"/>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c r="AA498" s="125"/>
      <c r="AB498" s="125"/>
    </row>
    <row r="499" spans="1:28" ht="15.75" customHeight="1">
      <c r="A499" s="125"/>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c r="AA499" s="125"/>
      <c r="AB499" s="125"/>
    </row>
    <row r="500" spans="1:28" ht="15.75" customHeight="1">
      <c r="A500" s="125"/>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c r="AA500" s="125"/>
      <c r="AB500" s="125"/>
    </row>
    <row r="501" spans="1:28" ht="15.75" customHeight="1">
      <c r="A501" s="125"/>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c r="AA501" s="125"/>
      <c r="AB501" s="125"/>
    </row>
    <row r="502" spans="1:28" ht="15.75" customHeight="1">
      <c r="A502" s="125"/>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c r="AA502" s="125"/>
      <c r="AB502" s="125"/>
    </row>
    <row r="503" spans="1:28" ht="15.75" customHeight="1">
      <c r="A503" s="125"/>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c r="AA503" s="125"/>
      <c r="AB503" s="125"/>
    </row>
    <row r="504" spans="1:28" ht="15.75" customHeight="1">
      <c r="A504" s="125"/>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c r="AA504" s="125"/>
      <c r="AB504" s="125"/>
    </row>
    <row r="505" spans="1:28" ht="15.75" customHeight="1">
      <c r="A505" s="125"/>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c r="AA505" s="125"/>
      <c r="AB505" s="125"/>
    </row>
    <row r="506" spans="1:28" ht="15.75" customHeight="1">
      <c r="A506" s="125"/>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c r="AA506" s="125"/>
      <c r="AB506" s="125"/>
    </row>
    <row r="507" spans="1:28" ht="15.75" customHeight="1">
      <c r="A507" s="125"/>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c r="AA507" s="125"/>
      <c r="AB507" s="125"/>
    </row>
    <row r="508" spans="1:28" ht="15.75" customHeight="1">
      <c r="A508" s="125"/>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c r="AA508" s="125"/>
      <c r="AB508" s="125"/>
    </row>
    <row r="509" spans="1:28" ht="15.75" customHeight="1">
      <c r="A509" s="125"/>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c r="AA509" s="125"/>
      <c r="AB509" s="125"/>
    </row>
    <row r="510" spans="1:28" ht="15.75" customHeight="1">
      <c r="A510" s="125"/>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c r="AA510" s="125"/>
      <c r="AB510" s="125"/>
    </row>
    <row r="511" spans="1:28" ht="15.75" customHeight="1">
      <c r="A511" s="125"/>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c r="AA511" s="125"/>
      <c r="AB511" s="125"/>
    </row>
    <row r="512" spans="1:28" ht="15.75" customHeight="1">
      <c r="A512" s="125"/>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c r="AA512" s="125"/>
      <c r="AB512" s="125"/>
    </row>
    <row r="513" spans="1:28" ht="15.75" customHeight="1">
      <c r="A513" s="125"/>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c r="AA513" s="125"/>
      <c r="AB513" s="125"/>
    </row>
    <row r="514" spans="1:28" ht="15.75" customHeight="1">
      <c r="A514" s="125"/>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c r="AA514" s="125"/>
      <c r="AB514" s="125"/>
    </row>
    <row r="515" spans="1:28" ht="15.75" customHeight="1">
      <c r="A515" s="125"/>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c r="AA515" s="125"/>
      <c r="AB515" s="125"/>
    </row>
    <row r="516" spans="1:28" ht="15.75" customHeight="1">
      <c r="A516" s="125"/>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c r="AA516" s="125"/>
      <c r="AB516" s="125"/>
    </row>
    <row r="517" spans="1:28" ht="15.75" customHeight="1">
      <c r="A517" s="125"/>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c r="AA517" s="125"/>
      <c r="AB517" s="125"/>
    </row>
    <row r="518" spans="1:28" ht="15.75" customHeight="1">
      <c r="A518" s="125"/>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c r="AA518" s="125"/>
      <c r="AB518" s="125"/>
    </row>
    <row r="519" spans="1:28" ht="15.75" customHeight="1">
      <c r="A519" s="125"/>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c r="AA519" s="125"/>
      <c r="AB519" s="125"/>
    </row>
    <row r="520" spans="1:28" ht="15.75" customHeight="1">
      <c r="A520" s="125"/>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c r="AA520" s="125"/>
      <c r="AB520" s="125"/>
    </row>
    <row r="521" spans="1:28" ht="15.75" customHeight="1">
      <c r="A521" s="125"/>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c r="AA521" s="125"/>
      <c r="AB521" s="125"/>
    </row>
    <row r="522" spans="1:28" ht="15.75" customHeight="1">
      <c r="A522" s="125"/>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c r="AA522" s="125"/>
      <c r="AB522" s="125"/>
    </row>
    <row r="523" spans="1:28" ht="15.75" customHeight="1">
      <c r="A523" s="125"/>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c r="AA523" s="125"/>
      <c r="AB523" s="125"/>
    </row>
    <row r="524" spans="1:28" ht="15.75" customHeight="1">
      <c r="A524" s="125"/>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c r="AA524" s="125"/>
      <c r="AB524" s="125"/>
    </row>
    <row r="525" spans="1:28" ht="15.75" customHeight="1">
      <c r="A525" s="125"/>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c r="AA525" s="125"/>
      <c r="AB525" s="125"/>
    </row>
    <row r="526" spans="1:28" ht="15.75" customHeight="1">
      <c r="A526" s="125"/>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c r="AA526" s="125"/>
      <c r="AB526" s="125"/>
    </row>
    <row r="527" spans="1:28" ht="15.75" customHeight="1">
      <c r="A527" s="125"/>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c r="AA527" s="125"/>
      <c r="AB527" s="125"/>
    </row>
    <row r="528" spans="1:28" ht="15.75" customHeight="1">
      <c r="A528" s="125"/>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c r="AA528" s="125"/>
      <c r="AB528" s="125"/>
    </row>
    <row r="529" spans="1:28" ht="15.75" customHeight="1">
      <c r="A529" s="125"/>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c r="AA529" s="125"/>
      <c r="AB529" s="125"/>
    </row>
    <row r="530" spans="1:28" ht="15.75" customHeight="1">
      <c r="A530" s="125"/>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c r="AA530" s="125"/>
      <c r="AB530" s="125"/>
    </row>
    <row r="531" spans="1:28" ht="15.75" customHeight="1">
      <c r="A531" s="125"/>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c r="AA531" s="125"/>
      <c r="AB531" s="125"/>
    </row>
    <row r="532" spans="1:28" ht="15.75" customHeight="1">
      <c r="A532" s="125"/>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c r="AA532" s="125"/>
      <c r="AB532" s="125"/>
    </row>
    <row r="533" spans="1:28" ht="15.75" customHeight="1">
      <c r="A533" s="125"/>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c r="AA533" s="125"/>
      <c r="AB533" s="125"/>
    </row>
    <row r="534" spans="1:28" ht="15.75" customHeight="1">
      <c r="A534" s="125"/>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c r="AA534" s="125"/>
      <c r="AB534" s="125"/>
    </row>
    <row r="535" spans="1:28" ht="15.75" customHeight="1">
      <c r="A535" s="125"/>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c r="AA535" s="125"/>
      <c r="AB535" s="125"/>
    </row>
    <row r="536" spans="1:28" ht="15.75" customHeight="1">
      <c r="A536" s="125"/>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c r="AA536" s="125"/>
      <c r="AB536" s="125"/>
    </row>
    <row r="537" spans="1:28" ht="15.75" customHeight="1">
      <c r="A537" s="125"/>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c r="AA537" s="125"/>
      <c r="AB537" s="125"/>
    </row>
    <row r="538" spans="1:28" ht="15.75" customHeight="1">
      <c r="A538" s="125"/>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c r="AA538" s="125"/>
      <c r="AB538" s="125"/>
    </row>
    <row r="539" spans="1:28" ht="15.75" customHeight="1">
      <c r="A539" s="125"/>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c r="AA539" s="125"/>
      <c r="AB539" s="125"/>
    </row>
    <row r="540" spans="1:28" ht="15.75" customHeight="1">
      <c r="A540" s="125"/>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c r="AA540" s="125"/>
      <c r="AB540" s="125"/>
    </row>
    <row r="541" spans="1:28" ht="15.75" customHeight="1">
      <c r="A541" s="125"/>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c r="AA541" s="125"/>
      <c r="AB541" s="125"/>
    </row>
    <row r="542" spans="1:28" ht="15.75" customHeight="1">
      <c r="A542" s="125"/>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c r="AA542" s="125"/>
      <c r="AB542" s="125"/>
    </row>
    <row r="543" spans="1:28" ht="15.75" customHeight="1">
      <c r="A543" s="125"/>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c r="AA543" s="125"/>
      <c r="AB543" s="125"/>
    </row>
    <row r="544" spans="1:28" ht="15.75" customHeight="1">
      <c r="A544" s="125"/>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c r="AA544" s="125"/>
      <c r="AB544" s="125"/>
    </row>
    <row r="545" spans="1:28" ht="15.75" customHeight="1">
      <c r="A545" s="125"/>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c r="AA545" s="125"/>
      <c r="AB545" s="125"/>
    </row>
    <row r="546" spans="1:28" ht="15.75" customHeight="1">
      <c r="A546" s="125"/>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c r="AA546" s="125"/>
      <c r="AB546" s="125"/>
    </row>
    <row r="547" spans="1:28" ht="15.75" customHeight="1">
      <c r="A547" s="125"/>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c r="AA547" s="125"/>
      <c r="AB547" s="125"/>
    </row>
    <row r="548" spans="1:28" ht="15.75" customHeight="1">
      <c r="A548" s="125"/>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c r="AA548" s="125"/>
      <c r="AB548" s="125"/>
    </row>
    <row r="549" spans="1:28" ht="15.75" customHeight="1">
      <c r="A549" s="125"/>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c r="AA549" s="125"/>
      <c r="AB549" s="125"/>
    </row>
    <row r="550" spans="1:28" ht="15.75" customHeight="1">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c r="AA550" s="125"/>
      <c r="AB550" s="125"/>
    </row>
    <row r="551" spans="1:28" ht="15.75" customHeight="1">
      <c r="A551" s="125"/>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c r="AA551" s="125"/>
      <c r="AB551" s="125"/>
    </row>
    <row r="552" spans="1:28" ht="15.75" customHeight="1">
      <c r="A552" s="125"/>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c r="AA552" s="125"/>
      <c r="AB552" s="125"/>
    </row>
    <row r="553" spans="1:28" ht="15.75" customHeight="1">
      <c r="A553" s="125"/>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c r="AA553" s="125"/>
      <c r="AB553" s="125"/>
    </row>
    <row r="554" spans="1:28" ht="15.75" customHeight="1">
      <c r="A554" s="125"/>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c r="AA554" s="125"/>
      <c r="AB554" s="125"/>
    </row>
    <row r="555" spans="1:28" ht="15.75" customHeight="1">
      <c r="A555" s="125"/>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c r="AA555" s="125"/>
      <c r="AB555" s="125"/>
    </row>
    <row r="556" spans="1:28" ht="15.75" customHeight="1">
      <c r="A556" s="125"/>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c r="AA556" s="125"/>
      <c r="AB556" s="125"/>
    </row>
    <row r="557" spans="1:28" ht="15.75" customHeight="1">
      <c r="A557" s="125"/>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c r="AA557" s="125"/>
      <c r="AB557" s="125"/>
    </row>
    <row r="558" spans="1:28" ht="15.75" customHeight="1">
      <c r="A558" s="125"/>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c r="AA558" s="125"/>
      <c r="AB558" s="125"/>
    </row>
    <row r="559" spans="1:28" ht="15.75" customHeight="1">
      <c r="A559" s="125"/>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c r="AA559" s="125"/>
      <c r="AB559" s="125"/>
    </row>
    <row r="560" spans="1:28" ht="15.75" customHeight="1">
      <c r="A560" s="125"/>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c r="AA560" s="125"/>
      <c r="AB560" s="125"/>
    </row>
    <row r="561" spans="1:28" ht="15.75" customHeight="1">
      <c r="A561" s="125"/>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c r="AA561" s="125"/>
      <c r="AB561" s="125"/>
    </row>
    <row r="562" spans="1:28" ht="15.75" customHeight="1">
      <c r="A562" s="125"/>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c r="AA562" s="125"/>
      <c r="AB562" s="125"/>
    </row>
    <row r="563" spans="1:28" ht="15.75" customHeight="1">
      <c r="A563" s="125"/>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c r="AA563" s="125"/>
      <c r="AB563" s="125"/>
    </row>
    <row r="564" spans="1:28" ht="15.75" customHeight="1">
      <c r="A564" s="125"/>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c r="AA564" s="125"/>
      <c r="AB564" s="125"/>
    </row>
    <row r="565" spans="1:28" ht="15.75" customHeight="1">
      <c r="A565" s="125"/>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c r="AA565" s="125"/>
      <c r="AB565" s="125"/>
    </row>
    <row r="566" spans="1:28" ht="15.75" customHeight="1">
      <c r="A566" s="125"/>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c r="AA566" s="125"/>
      <c r="AB566" s="125"/>
    </row>
    <row r="567" spans="1:28" ht="15.75" customHeight="1">
      <c r="A567" s="125"/>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c r="AA567" s="125"/>
      <c r="AB567" s="125"/>
    </row>
    <row r="568" spans="1:28" ht="15.75" customHeight="1">
      <c r="A568" s="125"/>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c r="AA568" s="125"/>
      <c r="AB568" s="125"/>
    </row>
    <row r="569" spans="1:28" ht="15.75" customHeight="1">
      <c r="A569" s="125"/>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c r="AA569" s="125"/>
      <c r="AB569" s="125"/>
    </row>
    <row r="570" spans="1:28" ht="15.75" customHeight="1">
      <c r="A570" s="125"/>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c r="AA570" s="125"/>
      <c r="AB570" s="125"/>
    </row>
    <row r="571" spans="1:28" ht="15.75" customHeight="1">
      <c r="A571" s="125"/>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c r="AA571" s="125"/>
      <c r="AB571" s="125"/>
    </row>
    <row r="572" spans="1:28" ht="15.75" customHeight="1">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c r="AA572" s="125"/>
      <c r="AB572" s="125"/>
    </row>
    <row r="573" spans="1:28" ht="15.75" customHeight="1">
      <c r="A573" s="125"/>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c r="AA573" s="125"/>
      <c r="AB573" s="125"/>
    </row>
    <row r="574" spans="1:28" ht="15.75" customHeight="1">
      <c r="A574" s="125"/>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c r="AA574" s="125"/>
      <c r="AB574" s="125"/>
    </row>
    <row r="575" spans="1:28" ht="15.75" customHeight="1">
      <c r="A575" s="125"/>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c r="AA575" s="125"/>
      <c r="AB575" s="125"/>
    </row>
    <row r="576" spans="1:28" ht="15.75" customHeight="1">
      <c r="A576" s="125"/>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c r="AA576" s="125"/>
      <c r="AB576" s="125"/>
    </row>
    <row r="577" spans="1:28" ht="15.75" customHeight="1">
      <c r="A577" s="125"/>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c r="AA577" s="125"/>
      <c r="AB577" s="125"/>
    </row>
    <row r="578" spans="1:28" ht="15.75" customHeight="1">
      <c r="A578" s="125"/>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c r="AA578" s="125"/>
      <c r="AB578" s="125"/>
    </row>
    <row r="579" spans="1:28" ht="15.75" customHeight="1">
      <c r="A579" s="125"/>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c r="AA579" s="125"/>
      <c r="AB579" s="125"/>
    </row>
    <row r="580" spans="1:28" ht="15.75" customHeight="1">
      <c r="A580" s="125"/>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c r="AA580" s="125"/>
      <c r="AB580" s="125"/>
    </row>
    <row r="581" spans="1:28" ht="15.75" customHeight="1">
      <c r="A581" s="125"/>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c r="AA581" s="125"/>
      <c r="AB581" s="125"/>
    </row>
    <row r="582" spans="1:28" ht="15.75" customHeight="1">
      <c r="A582" s="125"/>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c r="AA582" s="125"/>
      <c r="AB582" s="125"/>
    </row>
    <row r="583" spans="1:28" ht="15.75" customHeight="1">
      <c r="A583" s="125"/>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c r="AA583" s="125"/>
      <c r="AB583" s="125"/>
    </row>
    <row r="584" spans="1:28" ht="15.75" customHeight="1">
      <c r="A584" s="125"/>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c r="AA584" s="125"/>
      <c r="AB584" s="125"/>
    </row>
    <row r="585" spans="1:28" ht="15.75" customHeight="1">
      <c r="A585" s="125"/>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c r="AA585" s="125"/>
      <c r="AB585" s="125"/>
    </row>
    <row r="586" spans="1:28" ht="15.75" customHeight="1">
      <c r="A586" s="125"/>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c r="AA586" s="125"/>
      <c r="AB586" s="125"/>
    </row>
    <row r="587" spans="1:28" ht="15.75" customHeight="1">
      <c r="A587" s="125"/>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c r="AA587" s="125"/>
      <c r="AB587" s="125"/>
    </row>
    <row r="588" spans="1:28" ht="15.75" customHeight="1">
      <c r="A588" s="125"/>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c r="AA588" s="125"/>
      <c r="AB588" s="125"/>
    </row>
    <row r="589" spans="1:28" ht="15.75" customHeight="1">
      <c r="A589" s="125"/>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c r="AA589" s="125"/>
      <c r="AB589" s="125"/>
    </row>
    <row r="590" spans="1:28" ht="15.75" customHeight="1">
      <c r="A590" s="125"/>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c r="AA590" s="125"/>
      <c r="AB590" s="125"/>
    </row>
    <row r="591" spans="1:28" ht="15.75" customHeight="1">
      <c r="A591" s="125"/>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c r="AA591" s="125"/>
      <c r="AB591" s="125"/>
    </row>
    <row r="592" spans="1:28" ht="15.75" customHeight="1">
      <c r="A592" s="125"/>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c r="AA592" s="125"/>
      <c r="AB592" s="125"/>
    </row>
    <row r="593" spans="1:28" ht="15.75" customHeight="1">
      <c r="A593" s="125"/>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c r="AA593" s="125"/>
      <c r="AB593" s="125"/>
    </row>
    <row r="594" spans="1:28" ht="15.75" customHeight="1">
      <c r="A594" s="125"/>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c r="AA594" s="125"/>
      <c r="AB594" s="125"/>
    </row>
    <row r="595" spans="1:28" ht="15.75" customHeight="1">
      <c r="A595" s="125"/>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c r="AA595" s="125"/>
      <c r="AB595" s="125"/>
    </row>
    <row r="596" spans="1:28" ht="15.75" customHeight="1">
      <c r="A596" s="125"/>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c r="AA596" s="125"/>
      <c r="AB596" s="125"/>
    </row>
    <row r="597" spans="1:28" ht="15.75" customHeight="1">
      <c r="A597" s="125"/>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c r="AA597" s="125"/>
      <c r="AB597" s="125"/>
    </row>
    <row r="598" spans="1:28" ht="15.75" customHeight="1">
      <c r="A598" s="125"/>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c r="AA598" s="125"/>
      <c r="AB598" s="125"/>
    </row>
    <row r="599" spans="1:28" ht="15.75" customHeight="1">
      <c r="A599" s="125"/>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c r="AA599" s="125"/>
      <c r="AB599" s="125"/>
    </row>
    <row r="600" spans="1:28" ht="15.75" customHeight="1">
      <c r="A600" s="125"/>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c r="AA600" s="125"/>
      <c r="AB600" s="125"/>
    </row>
    <row r="601" spans="1:28" ht="15.75" customHeight="1">
      <c r="A601" s="125"/>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c r="AA601" s="125"/>
      <c r="AB601" s="125"/>
    </row>
    <row r="602" spans="1:28" ht="15.75" customHeight="1">
      <c r="A602" s="125"/>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c r="AA602" s="125"/>
      <c r="AB602" s="125"/>
    </row>
    <row r="603" spans="1:28" ht="15.75" customHeight="1">
      <c r="A603" s="125"/>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c r="AA603" s="125"/>
      <c r="AB603" s="125"/>
    </row>
    <row r="604" spans="1:28" ht="15.75" customHeight="1">
      <c r="A604" s="125"/>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c r="AA604" s="125"/>
      <c r="AB604" s="125"/>
    </row>
    <row r="605" spans="1:28" ht="15.75" customHeight="1">
      <c r="A605" s="125"/>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c r="AA605" s="125"/>
      <c r="AB605" s="125"/>
    </row>
    <row r="606" spans="1:28" ht="15.75" customHeight="1">
      <c r="A606" s="125"/>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c r="AA606" s="125"/>
      <c r="AB606" s="125"/>
    </row>
    <row r="607" spans="1:28" ht="15.75" customHeight="1">
      <c r="A607" s="125"/>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c r="AA607" s="125"/>
      <c r="AB607" s="125"/>
    </row>
    <row r="608" spans="1:28" ht="15.75" customHeight="1">
      <c r="A608" s="125"/>
      <c r="B608" s="125"/>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c r="AA608" s="125"/>
      <c r="AB608" s="125"/>
    </row>
    <row r="609" spans="1:28" ht="15.75" customHeight="1">
      <c r="A609" s="125"/>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c r="AA609" s="125"/>
      <c r="AB609" s="125"/>
    </row>
    <row r="610" spans="1:28" ht="15.75" customHeight="1">
      <c r="A610" s="125"/>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c r="AA610" s="125"/>
      <c r="AB610" s="125"/>
    </row>
    <row r="611" spans="1:28" ht="15.75" customHeight="1">
      <c r="A611" s="125"/>
      <c r="B611" s="125"/>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c r="AA611" s="125"/>
      <c r="AB611" s="125"/>
    </row>
    <row r="612" spans="1:28" ht="15.75" customHeight="1">
      <c r="A612" s="125"/>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c r="AA612" s="125"/>
      <c r="AB612" s="125"/>
    </row>
    <row r="613" spans="1:28" ht="15.75" customHeight="1">
      <c r="A613" s="125"/>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c r="AA613" s="125"/>
      <c r="AB613" s="125"/>
    </row>
    <row r="614" spans="1:28" ht="15.75" customHeight="1">
      <c r="A614" s="125"/>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c r="AA614" s="125"/>
      <c r="AB614" s="125"/>
    </row>
    <row r="615" spans="1:28" ht="15.75" customHeight="1">
      <c r="A615" s="125"/>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c r="AA615" s="125"/>
      <c r="AB615" s="125"/>
    </row>
    <row r="616" spans="1:28" ht="15.75" customHeight="1">
      <c r="A616" s="125"/>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c r="AA616" s="125"/>
      <c r="AB616" s="125"/>
    </row>
    <row r="617" spans="1:28" ht="15.75" customHeight="1">
      <c r="A617" s="125"/>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c r="AA617" s="125"/>
      <c r="AB617" s="125"/>
    </row>
    <row r="618" spans="1:28" ht="15.75" customHeight="1">
      <c r="A618" s="125"/>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c r="AA618" s="125"/>
      <c r="AB618" s="125"/>
    </row>
    <row r="619" spans="1:28" ht="15.75" customHeight="1">
      <c r="A619" s="125"/>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c r="AA619" s="125"/>
      <c r="AB619" s="125"/>
    </row>
    <row r="620" spans="1:28" ht="15.75" customHeight="1">
      <c r="A620" s="125"/>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c r="AA620" s="125"/>
      <c r="AB620" s="125"/>
    </row>
    <row r="621" spans="1:28" ht="15.75" customHeight="1">
      <c r="A621" s="125"/>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c r="AA621" s="125"/>
      <c r="AB621" s="125"/>
    </row>
    <row r="622" spans="1:28" ht="15.75" customHeight="1">
      <c r="A622" s="125"/>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c r="AA622" s="125"/>
      <c r="AB622" s="125"/>
    </row>
    <row r="623" spans="1:28" ht="15.75" customHeight="1">
      <c r="A623" s="125"/>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c r="AA623" s="125"/>
      <c r="AB623" s="125"/>
    </row>
    <row r="624" spans="1:28" ht="15.75" customHeight="1">
      <c r="A624" s="125"/>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c r="AA624" s="125"/>
      <c r="AB624" s="125"/>
    </row>
    <row r="625" spans="1:28" ht="15.75" customHeight="1">
      <c r="A625" s="125"/>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c r="AA625" s="125"/>
      <c r="AB625" s="125"/>
    </row>
    <row r="626" spans="1:28" ht="15.75" customHeight="1">
      <c r="A626" s="125"/>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c r="AA626" s="125"/>
      <c r="AB626" s="125"/>
    </row>
    <row r="627" spans="1:28" ht="15.75" customHeight="1">
      <c r="A627" s="125"/>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c r="AA627" s="125"/>
      <c r="AB627" s="125"/>
    </row>
    <row r="628" spans="1:28" ht="15.75" customHeight="1">
      <c r="A628" s="125"/>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c r="AA628" s="125"/>
      <c r="AB628" s="125"/>
    </row>
    <row r="629" spans="1:28" ht="15.75" customHeight="1">
      <c r="A629" s="125"/>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c r="AA629" s="125"/>
      <c r="AB629" s="125"/>
    </row>
    <row r="630" spans="1:28" ht="15.75" customHeight="1">
      <c r="A630" s="125"/>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c r="AA630" s="125"/>
      <c r="AB630" s="125"/>
    </row>
    <row r="631" spans="1:28" ht="15.75" customHeight="1">
      <c r="A631" s="125"/>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c r="AA631" s="125"/>
      <c r="AB631" s="125"/>
    </row>
    <row r="632" spans="1:28" ht="15.75" customHeight="1">
      <c r="A632" s="125"/>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c r="AA632" s="125"/>
      <c r="AB632" s="125"/>
    </row>
    <row r="633" spans="1:28" ht="15.75" customHeight="1">
      <c r="A633" s="125"/>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c r="AA633" s="125"/>
      <c r="AB633" s="125"/>
    </row>
    <row r="634" spans="1:28" ht="15.75" customHeight="1">
      <c r="A634" s="125"/>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c r="AA634" s="125"/>
      <c r="AB634" s="125"/>
    </row>
    <row r="635" spans="1:28" ht="15.75" customHeight="1">
      <c r="A635" s="125"/>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c r="AA635" s="125"/>
      <c r="AB635" s="125"/>
    </row>
    <row r="636" spans="1:28" ht="15.75" customHeight="1">
      <c r="A636" s="125"/>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c r="AA636" s="125"/>
      <c r="AB636" s="125"/>
    </row>
    <row r="637" spans="1:28" ht="15.75" customHeight="1">
      <c r="A637" s="125"/>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c r="AA637" s="125"/>
      <c r="AB637" s="125"/>
    </row>
    <row r="638" spans="1:28" ht="15.75" customHeight="1">
      <c r="A638" s="125"/>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c r="AA638" s="125"/>
      <c r="AB638" s="125"/>
    </row>
    <row r="639" spans="1:28" ht="15.75" customHeight="1">
      <c r="A639" s="125"/>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c r="AA639" s="125"/>
      <c r="AB639" s="125"/>
    </row>
    <row r="640" spans="1:28" ht="15.75" customHeight="1">
      <c r="A640" s="125"/>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c r="AA640" s="125"/>
      <c r="AB640" s="125"/>
    </row>
    <row r="641" spans="1:28" ht="15.75" customHeight="1">
      <c r="A641" s="125"/>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c r="AA641" s="125"/>
      <c r="AB641" s="125"/>
    </row>
    <row r="642" spans="1:28" ht="15.75" customHeight="1">
      <c r="A642" s="125"/>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c r="AA642" s="125"/>
      <c r="AB642" s="125"/>
    </row>
    <row r="643" spans="1:28" ht="15.75" customHeight="1">
      <c r="A643" s="125"/>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c r="AA643" s="125"/>
      <c r="AB643" s="125"/>
    </row>
    <row r="644" spans="1:28" ht="15.75" customHeight="1">
      <c r="A644" s="125"/>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c r="AA644" s="125"/>
      <c r="AB644" s="125"/>
    </row>
    <row r="645" spans="1:28" ht="15.75" customHeight="1">
      <c r="A645" s="125"/>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c r="AA645" s="125"/>
      <c r="AB645" s="125"/>
    </row>
    <row r="646" spans="1:28" ht="15.75" customHeight="1">
      <c r="A646" s="125"/>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c r="AA646" s="125"/>
      <c r="AB646" s="125"/>
    </row>
    <row r="647" spans="1:28" ht="15.75" customHeight="1">
      <c r="A647" s="125"/>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c r="AA647" s="125"/>
      <c r="AB647" s="125"/>
    </row>
    <row r="648" spans="1:28" ht="15.75" customHeight="1">
      <c r="A648" s="125"/>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c r="AA648" s="125"/>
      <c r="AB648" s="125"/>
    </row>
    <row r="649" spans="1:28" ht="15.75" customHeight="1">
      <c r="A649" s="125"/>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c r="AA649" s="125"/>
      <c r="AB649" s="125"/>
    </row>
    <row r="650" spans="1:28" ht="15.75" customHeight="1">
      <c r="A650" s="125"/>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c r="AA650" s="125"/>
      <c r="AB650" s="125"/>
    </row>
    <row r="651" spans="1:28" ht="15.75" customHeight="1">
      <c r="A651" s="125"/>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c r="AA651" s="125"/>
      <c r="AB651" s="125"/>
    </row>
    <row r="652" spans="1:28" ht="15.75" customHeight="1">
      <c r="A652" s="125"/>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c r="AA652" s="125"/>
      <c r="AB652" s="125"/>
    </row>
    <row r="653" spans="1:28" ht="15.75" customHeight="1">
      <c r="A653" s="125"/>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c r="AA653" s="125"/>
      <c r="AB653" s="125"/>
    </row>
    <row r="654" spans="1:28" ht="15.75" customHeight="1">
      <c r="A654" s="125"/>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c r="AA654" s="125"/>
      <c r="AB654" s="125"/>
    </row>
    <row r="655" spans="1:28" ht="15.75" customHeight="1">
      <c r="A655" s="125"/>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c r="AA655" s="125"/>
      <c r="AB655" s="125"/>
    </row>
    <row r="656" spans="1:28" ht="15.75" customHeight="1">
      <c r="A656" s="125"/>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c r="AA656" s="125"/>
      <c r="AB656" s="125"/>
    </row>
    <row r="657" spans="1:28" ht="15.75" customHeight="1">
      <c r="A657" s="125"/>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c r="AA657" s="125"/>
      <c r="AB657" s="125"/>
    </row>
    <row r="658" spans="1:28" ht="15.75" customHeight="1">
      <c r="A658" s="125"/>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c r="AA658" s="125"/>
      <c r="AB658" s="125"/>
    </row>
    <row r="659" spans="1:28" ht="15.75" customHeight="1">
      <c r="A659" s="125"/>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c r="AA659" s="125"/>
      <c r="AB659" s="125"/>
    </row>
    <row r="660" spans="1:28" ht="15.75" customHeight="1">
      <c r="A660" s="125"/>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c r="AA660" s="125"/>
      <c r="AB660" s="125"/>
    </row>
    <row r="661" spans="1:28" ht="15.75" customHeight="1">
      <c r="A661" s="125"/>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c r="AA661" s="125"/>
      <c r="AB661" s="125"/>
    </row>
    <row r="662" spans="1:28" ht="15.75" customHeight="1">
      <c r="A662" s="125"/>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c r="AA662" s="125"/>
      <c r="AB662" s="125"/>
    </row>
    <row r="663" spans="1:28" ht="15.75" customHeight="1">
      <c r="A663" s="125"/>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c r="AA663" s="125"/>
      <c r="AB663" s="125"/>
    </row>
    <row r="664" spans="1:28" ht="15.75" customHeight="1">
      <c r="A664" s="125"/>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c r="AA664" s="125"/>
      <c r="AB664" s="125"/>
    </row>
    <row r="665" spans="1:28" ht="15.75" customHeight="1">
      <c r="A665" s="125"/>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c r="AA665" s="125"/>
      <c r="AB665" s="125"/>
    </row>
    <row r="666" spans="1:28" ht="15.75" customHeight="1">
      <c r="A666" s="125"/>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c r="AA666" s="125"/>
      <c r="AB666" s="125"/>
    </row>
    <row r="667" spans="1:28" ht="15.75" customHeight="1">
      <c r="A667" s="125"/>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c r="AA667" s="125"/>
      <c r="AB667" s="125"/>
    </row>
    <row r="668" spans="1:28" ht="15.75" customHeight="1">
      <c r="A668" s="125"/>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c r="AA668" s="125"/>
      <c r="AB668" s="125"/>
    </row>
    <row r="669" spans="1:28" ht="15.75" customHeight="1">
      <c r="A669" s="125"/>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c r="AA669" s="125"/>
      <c r="AB669" s="125"/>
    </row>
    <row r="670" spans="1:28" ht="15.75" customHeight="1">
      <c r="A670" s="125"/>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c r="AA670" s="125"/>
      <c r="AB670" s="125"/>
    </row>
    <row r="671" spans="1:28" ht="15.75" customHeight="1">
      <c r="A671" s="125"/>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c r="AA671" s="125"/>
      <c r="AB671" s="125"/>
    </row>
    <row r="672" spans="1:28" ht="15.75" customHeight="1">
      <c r="A672" s="125"/>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c r="AA672" s="125"/>
      <c r="AB672" s="125"/>
    </row>
    <row r="673" spans="1:28" ht="15.75" customHeight="1">
      <c r="A673" s="125"/>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c r="AA673" s="125"/>
      <c r="AB673" s="125"/>
    </row>
    <row r="674" spans="1:28" ht="15.75" customHeight="1">
      <c r="A674" s="125"/>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c r="AA674" s="125"/>
      <c r="AB674" s="125"/>
    </row>
    <row r="675" spans="1:28" ht="15.75" customHeight="1">
      <c r="A675" s="125"/>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c r="AA675" s="125"/>
      <c r="AB675" s="125"/>
    </row>
    <row r="676" spans="1:28" ht="15.75" customHeight="1">
      <c r="A676" s="125"/>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c r="AA676" s="125"/>
      <c r="AB676" s="125"/>
    </row>
    <row r="677" spans="1:28" ht="15.75" customHeight="1">
      <c r="A677" s="125"/>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c r="AA677" s="125"/>
      <c r="AB677" s="125"/>
    </row>
    <row r="678" spans="1:28" ht="15.75" customHeight="1">
      <c r="A678" s="125"/>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c r="AA678" s="125"/>
      <c r="AB678" s="125"/>
    </row>
    <row r="679" spans="1:28" ht="15.75" customHeight="1">
      <c r="A679" s="125"/>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c r="AA679" s="125"/>
      <c r="AB679" s="125"/>
    </row>
    <row r="680" spans="1:28" ht="15.75" customHeight="1">
      <c r="A680" s="125"/>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c r="AA680" s="125"/>
      <c r="AB680" s="125"/>
    </row>
    <row r="681" spans="1:28" ht="15.75" customHeight="1">
      <c r="A681" s="125"/>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c r="AA681" s="125"/>
      <c r="AB681" s="125"/>
    </row>
    <row r="682" spans="1:28" ht="15.75" customHeight="1">
      <c r="A682" s="125"/>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c r="AA682" s="125"/>
      <c r="AB682" s="125"/>
    </row>
    <row r="683" spans="1:28" ht="15.75" customHeight="1">
      <c r="A683" s="125"/>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c r="AA683" s="125"/>
      <c r="AB683" s="125"/>
    </row>
    <row r="684" spans="1:28" ht="15.75" customHeight="1">
      <c r="A684" s="125"/>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c r="AA684" s="125"/>
      <c r="AB684" s="125"/>
    </row>
    <row r="685" spans="1:28" ht="15.75" customHeight="1">
      <c r="A685" s="125"/>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c r="AA685" s="125"/>
      <c r="AB685" s="125"/>
    </row>
    <row r="686" spans="1:28" ht="15.75" customHeight="1">
      <c r="A686" s="125"/>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c r="AA686" s="125"/>
      <c r="AB686" s="125"/>
    </row>
    <row r="687" spans="1:28" ht="15.75" customHeight="1">
      <c r="A687" s="125"/>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c r="AA687" s="125"/>
      <c r="AB687" s="125"/>
    </row>
    <row r="688" spans="1:28" ht="15.75" customHeight="1">
      <c r="A688" s="125"/>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c r="AA688" s="125"/>
      <c r="AB688" s="125"/>
    </row>
    <row r="689" spans="1:28" ht="15.75" customHeight="1">
      <c r="A689" s="125"/>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c r="AA689" s="125"/>
      <c r="AB689" s="125"/>
    </row>
    <row r="690" spans="1:28" ht="15.75" customHeight="1">
      <c r="A690" s="125"/>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c r="AA690" s="125"/>
      <c r="AB690" s="125"/>
    </row>
    <row r="691" spans="1:28" ht="15.75" customHeight="1">
      <c r="A691" s="125"/>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c r="AA691" s="125"/>
      <c r="AB691" s="125"/>
    </row>
    <row r="692" spans="1:28" ht="15.75" customHeight="1">
      <c r="A692" s="125"/>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c r="AA692" s="125"/>
      <c r="AB692" s="125"/>
    </row>
    <row r="693" spans="1:28" ht="15.75" customHeight="1">
      <c r="A693" s="125"/>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c r="AA693" s="125"/>
      <c r="AB693" s="125"/>
    </row>
    <row r="694" spans="1:28" ht="15.75" customHeight="1">
      <c r="A694" s="125"/>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c r="AA694" s="125"/>
      <c r="AB694" s="125"/>
    </row>
    <row r="695" spans="1:28" ht="15.75" customHeight="1">
      <c r="A695" s="125"/>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c r="AA695" s="125"/>
      <c r="AB695" s="125"/>
    </row>
    <row r="696" spans="1:28" ht="15.75" customHeight="1">
      <c r="A696" s="125"/>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c r="AA696" s="125"/>
      <c r="AB696" s="125"/>
    </row>
    <row r="697" spans="1:28" ht="15.75" customHeight="1">
      <c r="A697" s="125"/>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c r="AA697" s="125"/>
      <c r="AB697" s="125"/>
    </row>
    <row r="698" spans="1:28" ht="15.75" customHeight="1">
      <c r="A698" s="125"/>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c r="AA698" s="125"/>
      <c r="AB698" s="125"/>
    </row>
    <row r="699" spans="1:28" ht="15.75" customHeight="1">
      <c r="A699" s="125"/>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c r="AA699" s="125"/>
      <c r="AB699" s="125"/>
    </row>
    <row r="700" spans="1:28" ht="15.75" customHeight="1">
      <c r="A700" s="125"/>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c r="AA700" s="125"/>
      <c r="AB700" s="125"/>
    </row>
    <row r="701" spans="1:28" ht="15.75" customHeight="1">
      <c r="A701" s="125"/>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c r="AA701" s="125"/>
      <c r="AB701" s="125"/>
    </row>
    <row r="702" spans="1:28" ht="15.75" customHeight="1">
      <c r="A702" s="125"/>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c r="AA702" s="125"/>
      <c r="AB702" s="125"/>
    </row>
    <row r="703" spans="1:28" ht="15.75" customHeight="1">
      <c r="A703" s="125"/>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c r="AA703" s="125"/>
      <c r="AB703" s="125"/>
    </row>
    <row r="704" spans="1:28" ht="15.75" customHeight="1">
      <c r="A704" s="125"/>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c r="AA704" s="125"/>
      <c r="AB704" s="125"/>
    </row>
    <row r="705" spans="1:28" ht="15.75" customHeight="1">
      <c r="A705" s="125"/>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c r="AA705" s="125"/>
      <c r="AB705" s="125"/>
    </row>
    <row r="706" spans="1:28" ht="15.75" customHeight="1">
      <c r="A706" s="125"/>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c r="AA706" s="125"/>
      <c r="AB706" s="125"/>
    </row>
    <row r="707" spans="1:28" ht="15.75" customHeight="1">
      <c r="A707" s="125"/>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c r="AA707" s="125"/>
      <c r="AB707" s="125"/>
    </row>
    <row r="708" spans="1:28" ht="15.75" customHeight="1">
      <c r="A708" s="125"/>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c r="AA708" s="125"/>
      <c r="AB708" s="125"/>
    </row>
    <row r="709" spans="1:28" ht="15.75" customHeight="1">
      <c r="A709" s="125"/>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c r="AA709" s="125"/>
      <c r="AB709" s="125"/>
    </row>
    <row r="710" spans="1:28" ht="15.75" customHeight="1">
      <c r="A710" s="125"/>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c r="AA710" s="125"/>
      <c r="AB710" s="125"/>
    </row>
    <row r="711" spans="1:28" ht="15.75" customHeight="1">
      <c r="A711" s="125"/>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c r="AA711" s="125"/>
      <c r="AB711" s="125"/>
    </row>
    <row r="712" spans="1:28" ht="15.75" customHeight="1">
      <c r="A712" s="125"/>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c r="AA712" s="125"/>
      <c r="AB712" s="125"/>
    </row>
    <row r="713" spans="1:28" ht="15.75" customHeight="1">
      <c r="A713" s="125"/>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c r="AA713" s="125"/>
      <c r="AB713" s="125"/>
    </row>
    <row r="714" spans="1:28" ht="15.75" customHeight="1">
      <c r="A714" s="125"/>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c r="AA714" s="125"/>
      <c r="AB714" s="125"/>
    </row>
    <row r="715" spans="1:28" ht="15.75" customHeight="1">
      <c r="A715" s="125"/>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c r="AA715" s="125"/>
      <c r="AB715" s="125"/>
    </row>
    <row r="716" spans="1:28" ht="15.75" customHeight="1">
      <c r="A716" s="125"/>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c r="AA716" s="125"/>
      <c r="AB716" s="125"/>
    </row>
    <row r="717" spans="1:28" ht="15.75" customHeight="1">
      <c r="A717" s="125"/>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c r="AA717" s="125"/>
      <c r="AB717" s="125"/>
    </row>
    <row r="718" spans="1:28" ht="15.75" customHeight="1">
      <c r="A718" s="125"/>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c r="AA718" s="125"/>
      <c r="AB718" s="125"/>
    </row>
    <row r="719" spans="1:28" ht="15.75" customHeight="1">
      <c r="A719" s="125"/>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c r="AA719" s="125"/>
      <c r="AB719" s="125"/>
    </row>
    <row r="720" spans="1:28" ht="15.75" customHeight="1">
      <c r="A720" s="125"/>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c r="AA720" s="125"/>
      <c r="AB720" s="125"/>
    </row>
    <row r="721" spans="1:28" ht="15.75" customHeight="1">
      <c r="A721" s="125"/>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c r="AA721" s="125"/>
      <c r="AB721" s="125"/>
    </row>
    <row r="722" spans="1:28" ht="15.75" customHeight="1">
      <c r="A722" s="125"/>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c r="AA722" s="125"/>
      <c r="AB722" s="125"/>
    </row>
    <row r="723" spans="1:28" ht="15.75" customHeight="1">
      <c r="A723" s="125"/>
      <c r="B723" s="125"/>
      <c r="C723" s="125"/>
      <c r="D723" s="4"/>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c r="AA723" s="125"/>
      <c r="AB723" s="125"/>
    </row>
    <row r="724" spans="1:28" ht="15.75" customHeight="1">
      <c r="A724" s="125"/>
      <c r="B724" s="125"/>
      <c r="C724" s="125"/>
      <c r="D724" s="4"/>
      <c r="E724" s="168" t="s">
        <v>7</v>
      </c>
      <c r="F724" s="169">
        <f>COUNTIF(H4:H30,E724)</f>
        <v>0</v>
      </c>
      <c r="G724" s="125"/>
      <c r="H724" s="125"/>
      <c r="I724" s="125"/>
      <c r="J724" s="125"/>
      <c r="K724" s="125"/>
      <c r="L724" s="125"/>
      <c r="M724" s="125"/>
      <c r="N724" s="125"/>
      <c r="O724" s="125"/>
      <c r="P724" s="125"/>
      <c r="Q724" s="125"/>
      <c r="R724" s="125"/>
      <c r="S724" s="125"/>
      <c r="T724" s="125"/>
      <c r="U724" s="125"/>
      <c r="V724" s="125"/>
      <c r="W724" s="125"/>
      <c r="X724" s="125"/>
      <c r="Y724" s="125"/>
      <c r="Z724" s="125"/>
      <c r="AA724" s="125"/>
      <c r="AB724" s="125"/>
    </row>
    <row r="725" spans="1:28" ht="15.75" customHeight="1">
      <c r="A725" s="125"/>
      <c r="B725" s="125"/>
      <c r="C725" s="126" t="s">
        <v>488</v>
      </c>
      <c r="D725" s="4"/>
      <c r="E725" s="168" t="s">
        <v>8</v>
      </c>
      <c r="F725" s="169">
        <f>COUNTIF(H4:H30,E725)</f>
        <v>0</v>
      </c>
      <c r="G725" s="125"/>
      <c r="H725" s="125"/>
      <c r="I725" s="125"/>
      <c r="J725" s="125"/>
      <c r="K725" s="125"/>
      <c r="L725" s="125"/>
      <c r="M725" s="125"/>
      <c r="N725" s="125"/>
      <c r="O725" s="125"/>
      <c r="P725" s="125"/>
      <c r="Q725" s="125"/>
      <c r="R725" s="125"/>
      <c r="S725" s="125"/>
      <c r="T725" s="125"/>
      <c r="U725" s="125"/>
      <c r="V725" s="125"/>
      <c r="W725" s="125"/>
      <c r="X725" s="125"/>
      <c r="Y725" s="125"/>
      <c r="Z725" s="125"/>
      <c r="AA725" s="125"/>
      <c r="AB725" s="125"/>
    </row>
    <row r="726" spans="1:28" ht="15.75" customHeight="1">
      <c r="A726" s="125"/>
      <c r="B726" s="125"/>
      <c r="C726" s="125"/>
      <c r="D726" s="4"/>
      <c r="E726" s="168" t="s">
        <v>9</v>
      </c>
      <c r="F726" s="169">
        <f>COUNTIF(H4:H30,E726)</f>
        <v>0</v>
      </c>
      <c r="G726" s="125"/>
      <c r="H726" s="125"/>
      <c r="I726" s="125"/>
      <c r="J726" s="125"/>
      <c r="K726" s="125"/>
      <c r="L726" s="125"/>
      <c r="M726" s="125"/>
      <c r="N726" s="125"/>
      <c r="O726" s="125"/>
      <c r="P726" s="125"/>
      <c r="Q726" s="125"/>
      <c r="R726" s="125"/>
      <c r="S726" s="125"/>
      <c r="T726" s="125"/>
      <c r="U726" s="125"/>
      <c r="V726" s="125"/>
      <c r="W726" s="125"/>
      <c r="X726" s="125"/>
      <c r="Y726" s="125"/>
      <c r="Z726" s="125"/>
      <c r="AA726" s="125"/>
      <c r="AB726" s="125"/>
    </row>
    <row r="727" spans="1:28" ht="15.75" customHeight="1">
      <c r="A727" s="125"/>
      <c r="B727" s="125"/>
      <c r="C727" s="125"/>
      <c r="D727" s="4"/>
      <c r="E727" s="168" t="s">
        <v>10</v>
      </c>
      <c r="F727" s="169">
        <f>COUNTIF(H4:H30,E727)</f>
        <v>25</v>
      </c>
      <c r="G727" s="125"/>
      <c r="H727" s="125"/>
      <c r="I727" s="125"/>
      <c r="J727" s="125"/>
      <c r="K727" s="125"/>
      <c r="L727" s="125"/>
      <c r="M727" s="125"/>
      <c r="N727" s="125"/>
      <c r="O727" s="125"/>
      <c r="P727" s="125"/>
      <c r="Q727" s="125"/>
      <c r="R727" s="125"/>
      <c r="S727" s="125"/>
      <c r="T727" s="125"/>
      <c r="U727" s="125"/>
      <c r="V727" s="125"/>
      <c r="W727" s="125"/>
      <c r="X727" s="125"/>
      <c r="Y727" s="125"/>
      <c r="Z727" s="125"/>
      <c r="AA727" s="125"/>
      <c r="AB727" s="125"/>
    </row>
    <row r="728" spans="1:28" ht="15.75" customHeight="1">
      <c r="A728" s="125"/>
      <c r="B728" s="125"/>
      <c r="C728" s="125"/>
      <c r="D728" s="4"/>
      <c r="E728" s="168" t="s">
        <v>6</v>
      </c>
      <c r="F728" s="169">
        <f>SUM(F724:F726)</f>
        <v>0</v>
      </c>
      <c r="G728" s="125"/>
      <c r="H728" s="125"/>
      <c r="I728" s="125"/>
      <c r="J728" s="125"/>
      <c r="K728" s="125"/>
      <c r="L728" s="125"/>
      <c r="M728" s="125"/>
      <c r="N728" s="125"/>
      <c r="O728" s="125"/>
      <c r="P728" s="125"/>
      <c r="Q728" s="125"/>
      <c r="R728" s="125"/>
      <c r="S728" s="125"/>
      <c r="T728" s="125"/>
      <c r="U728" s="125"/>
      <c r="V728" s="125"/>
      <c r="W728" s="125"/>
      <c r="X728" s="125"/>
      <c r="Y728" s="125"/>
      <c r="Z728" s="125"/>
      <c r="AA728" s="125"/>
      <c r="AB728" s="125"/>
    </row>
    <row r="729" spans="1:28" ht="15.75" customHeight="1">
      <c r="A729" s="125"/>
      <c r="B729" s="125"/>
      <c r="C729" s="125"/>
      <c r="D729" s="4"/>
      <c r="E729" s="168" t="s">
        <v>39</v>
      </c>
      <c r="F729" s="169">
        <f>SUM(F724:F727)</f>
        <v>25</v>
      </c>
      <c r="G729" s="125"/>
      <c r="H729" s="125"/>
      <c r="I729" s="125"/>
      <c r="J729" s="125"/>
      <c r="K729" s="125"/>
      <c r="L729" s="125"/>
      <c r="M729" s="125"/>
      <c r="N729" s="125"/>
      <c r="O729" s="125"/>
      <c r="P729" s="125"/>
      <c r="Q729" s="125"/>
      <c r="R729" s="125"/>
      <c r="S729" s="125"/>
      <c r="T729" s="125"/>
      <c r="U729" s="125"/>
      <c r="V729" s="125"/>
      <c r="W729" s="125"/>
      <c r="X729" s="125"/>
      <c r="Y729" s="125"/>
      <c r="Z729" s="125"/>
      <c r="AA729" s="125"/>
      <c r="AB729" s="125"/>
    </row>
    <row r="730" spans="1:28" ht="15.75" customHeight="1">
      <c r="A730" s="125"/>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c r="AA730" s="125"/>
      <c r="AB730" s="125"/>
    </row>
    <row r="731" spans="1:28" ht="15.75" customHeight="1">
      <c r="A731" s="125"/>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c r="AA731" s="125"/>
      <c r="AB731" s="125"/>
    </row>
    <row r="732" spans="1:28" ht="15.75" customHeight="1">
      <c r="A732" s="125"/>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c r="AA732" s="125"/>
      <c r="AB732" s="125"/>
    </row>
    <row r="733" spans="1:28" ht="15.75" customHeight="1">
      <c r="A733" s="125"/>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c r="AA733" s="125"/>
      <c r="AB733" s="125"/>
    </row>
    <row r="734" spans="1:28" ht="15.75" customHeight="1">
      <c r="A734" s="125"/>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c r="AA734" s="125"/>
      <c r="AB734" s="125"/>
    </row>
    <row r="735" spans="1:28" ht="15.75" customHeight="1">
      <c r="A735" s="125"/>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c r="AA735" s="125"/>
      <c r="AB735" s="125"/>
    </row>
    <row r="736" spans="1:28" ht="15.75" customHeight="1">
      <c r="A736" s="125"/>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c r="AA736" s="125"/>
      <c r="AB736" s="125"/>
    </row>
    <row r="737" spans="1:28" ht="15.75" customHeight="1">
      <c r="A737" s="125"/>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c r="AA737" s="125"/>
      <c r="AB737" s="125"/>
    </row>
    <row r="738" spans="1:28" ht="15.75" customHeight="1">
      <c r="A738" s="125"/>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c r="AA738" s="125"/>
      <c r="AB738" s="125"/>
    </row>
    <row r="739" spans="1:28" ht="15.75" customHeight="1">
      <c r="A739" s="125"/>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c r="AA739" s="125"/>
      <c r="AB739" s="125"/>
    </row>
    <row r="740" spans="1:28" ht="15.75" customHeight="1">
      <c r="A740" s="125"/>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c r="AA740" s="125"/>
      <c r="AB740" s="125"/>
    </row>
    <row r="741" spans="1:28" ht="15.75" customHeight="1">
      <c r="A741" s="125"/>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c r="AA741" s="125"/>
      <c r="AB741" s="125"/>
    </row>
    <row r="742" spans="1:28" ht="15.75" customHeight="1">
      <c r="A742" s="125"/>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c r="AA742" s="125"/>
      <c r="AB742" s="125"/>
    </row>
    <row r="743" spans="1:28" ht="15.75" customHeight="1">
      <c r="A743" s="125"/>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c r="AA743" s="125"/>
      <c r="AB743" s="125"/>
    </row>
    <row r="744" spans="1:28" ht="15.75" customHeight="1">
      <c r="A744" s="125"/>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c r="AA744" s="125"/>
      <c r="AB744" s="125"/>
    </row>
    <row r="745" spans="1:28" ht="15.75" customHeight="1">
      <c r="A745" s="125"/>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c r="AA745" s="125"/>
      <c r="AB745" s="125"/>
    </row>
    <row r="746" spans="1:28" ht="15.75" customHeight="1">
      <c r="A746" s="125"/>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c r="AA746" s="125"/>
      <c r="AB746" s="125"/>
    </row>
    <row r="747" spans="1:28" ht="15.75" customHeight="1">
      <c r="A747" s="125"/>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c r="AA747" s="125"/>
      <c r="AB747" s="125"/>
    </row>
    <row r="748" spans="1:28" ht="15.75" customHeight="1">
      <c r="A748" s="125"/>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c r="AA748" s="125"/>
      <c r="AB748" s="125"/>
    </row>
    <row r="749" spans="1:28" ht="15.75" customHeight="1">
      <c r="A749" s="125"/>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c r="AA749" s="125"/>
      <c r="AB749" s="125"/>
    </row>
    <row r="750" spans="1:28" ht="15.75" customHeight="1">
      <c r="A750" s="125"/>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c r="AA750" s="125"/>
      <c r="AB750" s="125"/>
    </row>
    <row r="751" spans="1:28" ht="15.75" customHeight="1">
      <c r="A751" s="125"/>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c r="AA751" s="125"/>
      <c r="AB751" s="125"/>
    </row>
    <row r="752" spans="1:28" ht="15.75" customHeight="1">
      <c r="A752" s="125"/>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c r="AA752" s="125"/>
      <c r="AB752" s="125"/>
    </row>
    <row r="753" spans="1:28" ht="15.75" customHeight="1">
      <c r="A753" s="125"/>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c r="AA753" s="125"/>
      <c r="AB753" s="125"/>
    </row>
    <row r="754" spans="1:28" ht="15.75" customHeight="1">
      <c r="A754" s="125"/>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c r="AA754" s="125"/>
      <c r="AB754" s="125"/>
    </row>
    <row r="755" spans="1:28" ht="15.75" customHeight="1">
      <c r="A755" s="125"/>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c r="AA755" s="125"/>
      <c r="AB755" s="125"/>
    </row>
    <row r="756" spans="1:28" ht="15.75" customHeight="1">
      <c r="A756" s="125"/>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c r="AA756" s="125"/>
      <c r="AB756" s="125"/>
    </row>
    <row r="757" spans="1:28" ht="15.75" customHeight="1">
      <c r="A757" s="125"/>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c r="AA757" s="125"/>
      <c r="AB757" s="125"/>
    </row>
    <row r="758" spans="1:28" ht="15.75" customHeight="1">
      <c r="A758" s="125"/>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c r="AA758" s="125"/>
      <c r="AB758" s="125"/>
    </row>
    <row r="759" spans="1:28" ht="15.75" customHeight="1">
      <c r="A759" s="125"/>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c r="AA759" s="125"/>
      <c r="AB759" s="125"/>
    </row>
    <row r="760" spans="1:28" ht="15.75" customHeight="1">
      <c r="A760" s="125"/>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c r="AA760" s="125"/>
      <c r="AB760" s="125"/>
    </row>
    <row r="761" spans="1:28" ht="15.75" customHeight="1">
      <c r="A761" s="125"/>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c r="AA761" s="125"/>
      <c r="AB761" s="125"/>
    </row>
    <row r="762" spans="1:28" ht="15.75" customHeight="1">
      <c r="A762" s="125"/>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c r="AA762" s="125"/>
      <c r="AB762" s="125"/>
    </row>
    <row r="763" spans="1:28" ht="15.75" customHeight="1">
      <c r="A763" s="125"/>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c r="AA763" s="125"/>
      <c r="AB763" s="125"/>
    </row>
    <row r="764" spans="1:28" ht="15.75" customHeight="1">
      <c r="A764" s="125"/>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c r="AA764" s="125"/>
      <c r="AB764" s="125"/>
    </row>
    <row r="765" spans="1:28" ht="15.75" customHeight="1">
      <c r="A765" s="125"/>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c r="AA765" s="125"/>
      <c r="AB765" s="125"/>
    </row>
    <row r="766" spans="1:28" ht="15.75" customHeight="1">
      <c r="A766" s="125"/>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c r="AA766" s="125"/>
      <c r="AB766" s="125"/>
    </row>
    <row r="767" spans="1:28" ht="15.75" customHeight="1">
      <c r="A767" s="125"/>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c r="AA767" s="125"/>
      <c r="AB767" s="125"/>
    </row>
    <row r="768" spans="1:28" ht="15.75" customHeight="1">
      <c r="A768" s="125"/>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c r="AA768" s="125"/>
      <c r="AB768" s="125"/>
    </row>
    <row r="769" spans="1:28" ht="15.75" customHeight="1">
      <c r="A769" s="125"/>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c r="AA769" s="125"/>
      <c r="AB769" s="125"/>
    </row>
    <row r="770" spans="1:28" ht="15.75" customHeight="1">
      <c r="A770" s="125"/>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c r="AA770" s="125"/>
      <c r="AB770" s="125"/>
    </row>
    <row r="771" spans="1:28" ht="15.75" customHeight="1">
      <c r="A771" s="125"/>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c r="AA771" s="125"/>
      <c r="AB771" s="125"/>
    </row>
    <row r="772" spans="1:28" ht="15.75" customHeight="1">
      <c r="A772" s="125"/>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c r="AA772" s="125"/>
      <c r="AB772" s="125"/>
    </row>
    <row r="773" spans="1:28" ht="15.75" customHeight="1">
      <c r="A773" s="125"/>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c r="AA773" s="125"/>
      <c r="AB773" s="125"/>
    </row>
    <row r="774" spans="1:28" ht="15.75" customHeight="1">
      <c r="A774" s="125"/>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c r="AA774" s="125"/>
      <c r="AB774" s="125"/>
    </row>
    <row r="775" spans="1:28" ht="15.75" customHeight="1">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c r="AA775" s="125"/>
      <c r="AB775" s="125"/>
    </row>
    <row r="776" spans="1:28" ht="15.75" customHeight="1">
      <c r="A776" s="125"/>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c r="AA776" s="125"/>
      <c r="AB776" s="125"/>
    </row>
    <row r="777" spans="1:28" ht="15.75" customHeight="1">
      <c r="A777" s="125"/>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c r="AA777" s="125"/>
      <c r="AB777" s="125"/>
    </row>
    <row r="778" spans="1:28" ht="15.75" customHeight="1">
      <c r="A778" s="125"/>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c r="AA778" s="125"/>
      <c r="AB778" s="125"/>
    </row>
    <row r="779" spans="1:28" ht="15.75" customHeight="1">
      <c r="A779" s="125"/>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c r="AA779" s="125"/>
      <c r="AB779" s="125"/>
    </row>
    <row r="780" spans="1:28" ht="15.75" customHeight="1">
      <c r="A780" s="125"/>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c r="AA780" s="125"/>
      <c r="AB780" s="125"/>
    </row>
    <row r="781" spans="1:28" ht="15.75" customHeight="1">
      <c r="A781" s="125"/>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c r="AA781" s="125"/>
      <c r="AB781" s="125"/>
    </row>
    <row r="782" spans="1:28" ht="15.75" customHeight="1">
      <c r="A782" s="125"/>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c r="AA782" s="125"/>
      <c r="AB782" s="125"/>
    </row>
    <row r="783" spans="1:28" ht="15.75" customHeight="1">
      <c r="A783" s="125"/>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c r="AA783" s="125"/>
      <c r="AB783" s="125"/>
    </row>
    <row r="784" spans="1:28" ht="15.75" customHeight="1">
      <c r="A784" s="125"/>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c r="AA784" s="125"/>
      <c r="AB784" s="125"/>
    </row>
    <row r="785" spans="1:28" ht="15.75" customHeight="1">
      <c r="A785" s="125"/>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c r="AA785" s="125"/>
      <c r="AB785" s="125"/>
    </row>
    <row r="786" spans="1:28" ht="15.75" customHeight="1">
      <c r="A786" s="125"/>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c r="AA786" s="125"/>
      <c r="AB786" s="125"/>
    </row>
    <row r="787" spans="1:28" ht="15.75" customHeight="1">
      <c r="A787" s="125"/>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c r="AA787" s="125"/>
      <c r="AB787" s="125"/>
    </row>
    <row r="788" spans="1:28" ht="15.75" customHeight="1">
      <c r="A788" s="125"/>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c r="AA788" s="125"/>
      <c r="AB788" s="125"/>
    </row>
    <row r="789" spans="1:28" ht="15.75" customHeight="1">
      <c r="A789" s="125"/>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c r="AA789" s="125"/>
      <c r="AB789" s="125"/>
    </row>
    <row r="790" spans="1:28" ht="15.75" customHeight="1">
      <c r="A790" s="125"/>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c r="AA790" s="125"/>
      <c r="AB790" s="125"/>
    </row>
    <row r="791" spans="1:28" ht="15.75" customHeight="1">
      <c r="A791" s="125"/>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c r="AA791" s="125"/>
      <c r="AB791" s="125"/>
    </row>
    <row r="792" spans="1:28" ht="15.75" customHeight="1">
      <c r="A792" s="125"/>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c r="AA792" s="125"/>
      <c r="AB792" s="125"/>
    </row>
    <row r="793" spans="1:28" ht="15.75" customHeight="1">
      <c r="A793" s="125"/>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c r="AA793" s="125"/>
      <c r="AB793" s="125"/>
    </row>
    <row r="794" spans="1:28" ht="15.75" customHeight="1">
      <c r="A794" s="125"/>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c r="AA794" s="125"/>
      <c r="AB794" s="125"/>
    </row>
    <row r="795" spans="1:28" ht="15.75" customHeight="1">
      <c r="A795" s="125"/>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c r="AA795" s="125"/>
      <c r="AB795" s="125"/>
    </row>
    <row r="796" spans="1:28" ht="15.75" customHeight="1">
      <c r="A796" s="125"/>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c r="AA796" s="125"/>
      <c r="AB796" s="125"/>
    </row>
    <row r="797" spans="1:28" ht="15.75" customHeight="1">
      <c r="A797" s="125"/>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c r="AA797" s="125"/>
      <c r="AB797" s="125"/>
    </row>
    <row r="798" spans="1:28" ht="15.75" customHeight="1">
      <c r="A798" s="125"/>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c r="AA798" s="125"/>
      <c r="AB798" s="125"/>
    </row>
    <row r="799" spans="1:28" ht="15.75" customHeight="1">
      <c r="A799" s="125"/>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c r="AA799" s="125"/>
      <c r="AB799" s="125"/>
    </row>
    <row r="800" spans="1:28" ht="15.75" customHeight="1">
      <c r="A800" s="125"/>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c r="AA800" s="125"/>
      <c r="AB800" s="125"/>
    </row>
    <row r="801" spans="1:28" ht="15.75" customHeight="1">
      <c r="A801" s="125"/>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c r="AA801" s="125"/>
      <c r="AB801" s="125"/>
    </row>
    <row r="802" spans="1:28" ht="15.75" customHeight="1">
      <c r="A802" s="125"/>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c r="AA802" s="125"/>
      <c r="AB802" s="125"/>
    </row>
    <row r="803" spans="1:28" ht="15.75" customHeight="1">
      <c r="A803" s="125"/>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c r="AA803" s="125"/>
      <c r="AB803" s="125"/>
    </row>
    <row r="804" spans="1:28" ht="15.75" customHeight="1">
      <c r="A804" s="125"/>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c r="AA804" s="125"/>
      <c r="AB804" s="125"/>
    </row>
    <row r="805" spans="1:28" ht="15.75" customHeight="1">
      <c r="A805" s="125"/>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c r="AA805" s="125"/>
      <c r="AB805" s="125"/>
    </row>
    <row r="806" spans="1:28" ht="15.75" customHeight="1">
      <c r="A806" s="125"/>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c r="AA806" s="125"/>
      <c r="AB806" s="125"/>
    </row>
    <row r="807" spans="1:28" ht="15.75" customHeight="1">
      <c r="A807" s="125"/>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c r="AA807" s="125"/>
      <c r="AB807" s="125"/>
    </row>
    <row r="808" spans="1:28" ht="15.75" customHeight="1">
      <c r="A808" s="125"/>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c r="AA808" s="125"/>
      <c r="AB808" s="125"/>
    </row>
    <row r="809" spans="1:28" ht="15.75" customHeight="1">
      <c r="A809" s="125"/>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c r="AA809" s="125"/>
      <c r="AB809" s="125"/>
    </row>
    <row r="810" spans="1:28" ht="15.75" customHeight="1">
      <c r="A810" s="125"/>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c r="AA810" s="125"/>
      <c r="AB810" s="125"/>
    </row>
    <row r="811" spans="1:28" ht="15.75" customHeight="1">
      <c r="A811" s="125"/>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c r="AA811" s="125"/>
      <c r="AB811" s="125"/>
    </row>
    <row r="812" spans="1:28" ht="15.75" customHeight="1">
      <c r="A812" s="125"/>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c r="AA812" s="125"/>
      <c r="AB812" s="125"/>
    </row>
    <row r="813" spans="1:28" ht="15.75" customHeight="1">
      <c r="A813" s="125"/>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c r="AA813" s="125"/>
      <c r="AB813" s="125"/>
    </row>
    <row r="814" spans="1:28" ht="15.75" customHeight="1">
      <c r="A814" s="125"/>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c r="AA814" s="125"/>
      <c r="AB814" s="125"/>
    </row>
    <row r="815" spans="1:28" ht="15.75" customHeight="1">
      <c r="A815" s="125"/>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c r="AA815" s="125"/>
      <c r="AB815" s="125"/>
    </row>
    <row r="816" spans="1:28" ht="15.75" customHeight="1">
      <c r="A816" s="125"/>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c r="AA816" s="125"/>
      <c r="AB816" s="125"/>
    </row>
    <row r="817" spans="1:28" ht="15.75" customHeight="1">
      <c r="A817" s="125"/>
      <c r="B817" s="125"/>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c r="AA817" s="125"/>
      <c r="AB817" s="125"/>
    </row>
    <row r="818" spans="1:28" ht="15.75" customHeight="1">
      <c r="A818" s="125"/>
      <c r="B818" s="125"/>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c r="AA818" s="125"/>
      <c r="AB818" s="125"/>
    </row>
    <row r="819" spans="1:28" ht="15.75" customHeight="1">
      <c r="A819" s="125"/>
      <c r="B819" s="125"/>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c r="AA819" s="125"/>
      <c r="AB819" s="125"/>
    </row>
    <row r="820" spans="1:28" ht="15.75" customHeight="1">
      <c r="A820" s="125"/>
      <c r="B820" s="125"/>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c r="AA820" s="125"/>
      <c r="AB820" s="125"/>
    </row>
    <row r="821" spans="1:28" ht="15.75" customHeight="1">
      <c r="A821" s="125"/>
      <c r="B821" s="125"/>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c r="AA821" s="125"/>
      <c r="AB821" s="125"/>
    </row>
    <row r="822" spans="1:28" ht="15.75" customHeight="1">
      <c r="A822" s="125"/>
      <c r="B822" s="125"/>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c r="AA822" s="125"/>
      <c r="AB822" s="125"/>
    </row>
    <row r="823" spans="1:28" ht="15.75" customHeight="1">
      <c r="A823" s="125"/>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c r="AA823" s="125"/>
      <c r="AB823" s="125"/>
    </row>
    <row r="824" spans="1:28" ht="15.75" customHeight="1">
      <c r="A824" s="125"/>
      <c r="B824" s="125"/>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c r="AA824" s="125"/>
      <c r="AB824" s="125"/>
    </row>
    <row r="825" spans="1:28" ht="15.75" customHeight="1">
      <c r="A825" s="125"/>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c r="AA825" s="125"/>
      <c r="AB825" s="125"/>
    </row>
    <row r="826" spans="1:28" ht="15.75" customHeight="1">
      <c r="A826" s="125"/>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c r="AA826" s="125"/>
      <c r="AB826" s="125"/>
    </row>
    <row r="827" spans="1:28" ht="15.75" customHeight="1">
      <c r="A827" s="125"/>
      <c r="B827" s="125"/>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c r="AA827" s="125"/>
      <c r="AB827" s="125"/>
    </row>
    <row r="828" spans="1:28" ht="15.75" customHeight="1">
      <c r="A828" s="125"/>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c r="AA828" s="125"/>
      <c r="AB828" s="125"/>
    </row>
    <row r="829" spans="1:28" ht="15.75" customHeight="1">
      <c r="A829" s="125"/>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c r="AA829" s="125"/>
      <c r="AB829" s="125"/>
    </row>
    <row r="830" spans="1:28" ht="15.75" customHeight="1">
      <c r="A830" s="125"/>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c r="AA830" s="125"/>
      <c r="AB830" s="125"/>
    </row>
    <row r="831" spans="1:28" ht="15.75" customHeight="1">
      <c r="A831" s="125"/>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c r="AA831" s="125"/>
      <c r="AB831" s="125"/>
    </row>
    <row r="832" spans="1:28" ht="15.75" customHeight="1">
      <c r="A832" s="125"/>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c r="AA832" s="125"/>
      <c r="AB832" s="125"/>
    </row>
    <row r="833" spans="1:28" ht="15.75" customHeight="1">
      <c r="A833" s="125"/>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c r="AA833" s="125"/>
      <c r="AB833" s="125"/>
    </row>
    <row r="834" spans="1:28" ht="15.75" customHeight="1">
      <c r="A834" s="125"/>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c r="AA834" s="125"/>
      <c r="AB834" s="125"/>
    </row>
    <row r="835" spans="1:28" ht="15.75" customHeight="1">
      <c r="A835" s="125"/>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c r="AA835" s="125"/>
      <c r="AB835" s="125"/>
    </row>
    <row r="836" spans="1:28" ht="15.75" customHeight="1">
      <c r="A836" s="125"/>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c r="AA836" s="125"/>
      <c r="AB836" s="125"/>
    </row>
    <row r="837" spans="1:28" ht="15.75" customHeight="1">
      <c r="A837" s="125"/>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c r="AA837" s="125"/>
      <c r="AB837" s="125"/>
    </row>
    <row r="838" spans="1:28" ht="15.75" customHeight="1">
      <c r="A838" s="125"/>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c r="AA838" s="125"/>
      <c r="AB838" s="125"/>
    </row>
    <row r="839" spans="1:28" ht="15.75" customHeight="1">
      <c r="A839" s="125"/>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c r="AA839" s="125"/>
      <c r="AB839" s="125"/>
    </row>
    <row r="840" spans="1:28" ht="15.75" customHeight="1">
      <c r="A840" s="125"/>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c r="AA840" s="125"/>
      <c r="AB840" s="125"/>
    </row>
    <row r="841" spans="1:28" ht="15.75" customHeight="1">
      <c r="A841" s="125"/>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c r="AA841" s="125"/>
      <c r="AB841" s="125"/>
    </row>
    <row r="842" spans="1:28" ht="15.75" customHeight="1">
      <c r="A842" s="125"/>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c r="AA842" s="125"/>
      <c r="AB842" s="125"/>
    </row>
    <row r="843" spans="1:28" ht="15.75" customHeight="1">
      <c r="A843" s="125"/>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c r="AA843" s="125"/>
      <c r="AB843" s="125"/>
    </row>
    <row r="844" spans="1:28" ht="15.75" customHeight="1">
      <c r="A844" s="125"/>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c r="AA844" s="125"/>
      <c r="AB844" s="125"/>
    </row>
    <row r="845" spans="1:28" ht="15.75" customHeight="1">
      <c r="A845" s="125"/>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c r="AA845" s="125"/>
      <c r="AB845" s="125"/>
    </row>
    <row r="846" spans="1:28" ht="15.75" customHeight="1">
      <c r="A846" s="125"/>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c r="AA846" s="125"/>
      <c r="AB846" s="125"/>
    </row>
    <row r="847" spans="1:28" ht="15.75" customHeight="1">
      <c r="A847" s="125"/>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c r="AA847" s="125"/>
      <c r="AB847" s="125"/>
    </row>
    <row r="848" spans="1:28" ht="15.75" customHeight="1">
      <c r="A848" s="125"/>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c r="AA848" s="125"/>
      <c r="AB848" s="125"/>
    </row>
    <row r="849" spans="1:28" ht="15.75" customHeight="1">
      <c r="A849" s="125"/>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c r="AA849" s="125"/>
      <c r="AB849" s="125"/>
    </row>
    <row r="850" spans="1:28" ht="15.75" customHeight="1">
      <c r="A850" s="125"/>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c r="AA850" s="125"/>
      <c r="AB850" s="125"/>
    </row>
    <row r="851" spans="1:28" ht="15.75" customHeight="1">
      <c r="A851" s="125"/>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c r="AA851" s="125"/>
      <c r="AB851" s="125"/>
    </row>
    <row r="852" spans="1:28" ht="15.75" customHeight="1">
      <c r="A852" s="125"/>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c r="AA852" s="125"/>
      <c r="AB852" s="125"/>
    </row>
    <row r="853" spans="1:28" ht="15.75" customHeight="1">
      <c r="A853" s="125"/>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c r="AA853" s="125"/>
      <c r="AB853" s="125"/>
    </row>
    <row r="854" spans="1:28" ht="15.75" customHeight="1">
      <c r="A854" s="125"/>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c r="AA854" s="125"/>
      <c r="AB854" s="125"/>
    </row>
    <row r="855" spans="1:28" ht="15.75" customHeight="1">
      <c r="A855" s="125"/>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c r="AA855" s="125"/>
      <c r="AB855" s="125"/>
    </row>
    <row r="856" spans="1:28" ht="15.75" customHeight="1">
      <c r="A856" s="125"/>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c r="AA856" s="125"/>
      <c r="AB856" s="125"/>
    </row>
    <row r="857" spans="1:28" ht="15.75" customHeight="1">
      <c r="A857" s="125"/>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c r="AA857" s="125"/>
      <c r="AB857" s="125"/>
    </row>
    <row r="858" spans="1:28" ht="15.75" customHeight="1">
      <c r="A858" s="125"/>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c r="AA858" s="125"/>
      <c r="AB858" s="125"/>
    </row>
    <row r="859" spans="1:28" ht="15.75" customHeight="1">
      <c r="A859" s="125"/>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c r="AA859" s="125"/>
      <c r="AB859" s="125"/>
    </row>
    <row r="860" spans="1:28" ht="15.75" customHeight="1">
      <c r="A860" s="125"/>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c r="AA860" s="125"/>
      <c r="AB860" s="125"/>
    </row>
    <row r="861" spans="1:28" ht="15.75" customHeight="1">
      <c r="A861" s="125"/>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c r="AA861" s="125"/>
      <c r="AB861" s="125"/>
    </row>
    <row r="862" spans="1:28" ht="15.75" customHeight="1">
      <c r="A862" s="125"/>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c r="AA862" s="125"/>
      <c r="AB862" s="125"/>
    </row>
    <row r="863" spans="1:28" ht="15.75" customHeight="1">
      <c r="A863" s="125"/>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c r="AA863" s="125"/>
      <c r="AB863" s="125"/>
    </row>
    <row r="864" spans="1:28" ht="15.75" customHeight="1">
      <c r="A864" s="125"/>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c r="AA864" s="125"/>
      <c r="AB864" s="125"/>
    </row>
    <row r="865" spans="1:28" ht="15.75" customHeight="1">
      <c r="A865" s="125"/>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c r="AA865" s="125"/>
      <c r="AB865" s="125"/>
    </row>
    <row r="866" spans="1:28" ht="15.75" customHeight="1">
      <c r="A866" s="125"/>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c r="AA866" s="125"/>
      <c r="AB866" s="125"/>
    </row>
    <row r="867" spans="1:28" ht="15.75" customHeight="1">
      <c r="A867" s="125"/>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c r="AA867" s="125"/>
      <c r="AB867" s="125"/>
    </row>
    <row r="868" spans="1:28" ht="15.75" customHeight="1">
      <c r="A868" s="125"/>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c r="AA868" s="125"/>
      <c r="AB868" s="125"/>
    </row>
    <row r="869" spans="1:28" ht="15.75" customHeight="1">
      <c r="A869" s="125"/>
      <c r="B869" s="125"/>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c r="AA869" s="125"/>
      <c r="AB869" s="125"/>
    </row>
    <row r="870" spans="1:28" ht="15.75" customHeight="1">
      <c r="A870" s="125"/>
      <c r="B870" s="125"/>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c r="AA870" s="125"/>
      <c r="AB870" s="125"/>
    </row>
    <row r="871" spans="1:28" ht="15.75" customHeight="1">
      <c r="A871" s="125"/>
      <c r="B871" s="125"/>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c r="AA871" s="125"/>
      <c r="AB871" s="125"/>
    </row>
    <row r="872" spans="1:28" ht="15.75" customHeight="1">
      <c r="A872" s="125"/>
      <c r="B872" s="125"/>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c r="AA872" s="125"/>
      <c r="AB872" s="125"/>
    </row>
    <row r="873" spans="1:28" ht="15.75" customHeight="1">
      <c r="A873" s="125"/>
      <c r="B873" s="125"/>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c r="AA873" s="125"/>
      <c r="AB873" s="125"/>
    </row>
    <row r="874" spans="1:28" ht="15.75" customHeight="1">
      <c r="A874" s="125"/>
      <c r="B874" s="125"/>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c r="AA874" s="125"/>
      <c r="AB874" s="125"/>
    </row>
    <row r="875" spans="1:28" ht="15.75" customHeight="1">
      <c r="A875" s="125"/>
      <c r="B875" s="125"/>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c r="AA875" s="125"/>
      <c r="AB875" s="125"/>
    </row>
    <row r="876" spans="1:28" ht="15.75" customHeight="1">
      <c r="A876" s="125"/>
      <c r="B876" s="125"/>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c r="AA876" s="125"/>
      <c r="AB876" s="125"/>
    </row>
    <row r="877" spans="1:28" ht="15.75" customHeight="1">
      <c r="A877" s="125"/>
      <c r="B877" s="125"/>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c r="AA877" s="125"/>
      <c r="AB877" s="125"/>
    </row>
    <row r="878" spans="1:28" ht="15.75" customHeight="1">
      <c r="A878" s="125"/>
      <c r="B878" s="125"/>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c r="AA878" s="125"/>
      <c r="AB878" s="125"/>
    </row>
    <row r="879" spans="1:28" ht="15.75" customHeight="1">
      <c r="A879" s="125"/>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c r="AA879" s="125"/>
      <c r="AB879" s="125"/>
    </row>
    <row r="880" spans="1:28" ht="15.75" customHeight="1">
      <c r="A880" s="125"/>
      <c r="B880" s="125"/>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c r="AA880" s="125"/>
      <c r="AB880" s="125"/>
    </row>
    <row r="881" spans="1:28" ht="15.75" customHeight="1">
      <c r="A881" s="125"/>
      <c r="B881" s="125"/>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c r="AA881" s="125"/>
      <c r="AB881" s="125"/>
    </row>
    <row r="882" spans="1:28" ht="15.75" customHeight="1">
      <c r="A882" s="125"/>
      <c r="B882" s="125"/>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c r="AA882" s="125"/>
      <c r="AB882" s="125"/>
    </row>
    <row r="883" spans="1:28" ht="15.75" customHeight="1">
      <c r="A883" s="125"/>
      <c r="B883" s="125"/>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c r="AA883" s="125"/>
      <c r="AB883" s="125"/>
    </row>
    <row r="884" spans="1:28" ht="15.75" customHeight="1">
      <c r="A884" s="125"/>
      <c r="B884" s="125"/>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c r="AA884" s="125"/>
      <c r="AB884" s="125"/>
    </row>
    <row r="885" spans="1:28" ht="15.75" customHeight="1">
      <c r="A885" s="125"/>
      <c r="B885" s="125"/>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c r="AA885" s="125"/>
      <c r="AB885" s="125"/>
    </row>
    <row r="886" spans="1:28" ht="15.75" customHeight="1">
      <c r="A886" s="125"/>
      <c r="B886" s="125"/>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c r="AA886" s="125"/>
      <c r="AB886" s="125"/>
    </row>
    <row r="887" spans="1:28" ht="15.75" customHeight="1">
      <c r="A887" s="125"/>
      <c r="B887" s="125"/>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c r="AA887" s="125"/>
      <c r="AB887" s="125"/>
    </row>
    <row r="888" spans="1:28" ht="15.75" customHeight="1">
      <c r="A888" s="125"/>
      <c r="B888" s="125"/>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c r="AA888" s="125"/>
      <c r="AB888" s="125"/>
    </row>
    <row r="889" spans="1:28" ht="15.75" customHeight="1">
      <c r="A889" s="125"/>
      <c r="B889" s="125"/>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c r="AA889" s="125"/>
      <c r="AB889" s="125"/>
    </row>
    <row r="890" spans="1:28" ht="15.75" customHeight="1">
      <c r="A890" s="125"/>
      <c r="B890" s="125"/>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c r="AA890" s="125"/>
      <c r="AB890" s="125"/>
    </row>
    <row r="891" spans="1:28" ht="15.75" customHeight="1">
      <c r="A891" s="125"/>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c r="AA891" s="125"/>
      <c r="AB891" s="125"/>
    </row>
    <row r="892" spans="1:28" ht="15.75" customHeight="1">
      <c r="A892" s="125"/>
      <c r="B892" s="125"/>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c r="AA892" s="125"/>
      <c r="AB892" s="125"/>
    </row>
    <row r="893" spans="1:28" ht="15.75" customHeight="1">
      <c r="A893" s="125"/>
      <c r="B893" s="125"/>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c r="AA893" s="125"/>
      <c r="AB893" s="125"/>
    </row>
    <row r="894" spans="1:28" ht="15.75" customHeight="1">
      <c r="A894" s="125"/>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c r="AA894" s="125"/>
      <c r="AB894" s="125"/>
    </row>
    <row r="895" spans="1:28" ht="15.75" customHeight="1">
      <c r="A895" s="125"/>
      <c r="B895" s="125"/>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c r="AA895" s="125"/>
      <c r="AB895" s="125"/>
    </row>
    <row r="896" spans="1:28" ht="15.75" customHeight="1">
      <c r="A896" s="125"/>
      <c r="B896" s="125"/>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c r="AA896" s="125"/>
      <c r="AB896" s="125"/>
    </row>
    <row r="897" spans="1:28" ht="15.75" customHeight="1">
      <c r="A897" s="125"/>
      <c r="B897" s="125"/>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c r="AA897" s="125"/>
      <c r="AB897" s="125"/>
    </row>
    <row r="898" spans="1:28" ht="15.75" customHeight="1">
      <c r="A898" s="125"/>
      <c r="B898" s="125"/>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c r="AA898" s="125"/>
      <c r="AB898" s="125"/>
    </row>
    <row r="899" spans="1:28" ht="15.75" customHeight="1">
      <c r="A899" s="125"/>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c r="AA899" s="125"/>
      <c r="AB899" s="125"/>
    </row>
    <row r="900" spans="1:28" ht="15.75" customHeight="1">
      <c r="A900" s="125"/>
      <c r="B900" s="125"/>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c r="AA900" s="125"/>
      <c r="AB900" s="125"/>
    </row>
    <row r="901" spans="1:28" ht="15.75" customHeight="1">
      <c r="A901" s="125"/>
      <c r="B901" s="125"/>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c r="AA901" s="125"/>
      <c r="AB901" s="125"/>
    </row>
    <row r="902" spans="1:28" ht="15.75" customHeight="1">
      <c r="A902" s="125"/>
      <c r="B902" s="125"/>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c r="AA902" s="125"/>
      <c r="AB902" s="125"/>
    </row>
    <row r="903" spans="1:28" ht="15.75" customHeight="1">
      <c r="A903" s="125"/>
      <c r="B903" s="125"/>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c r="AA903" s="125"/>
      <c r="AB903" s="125"/>
    </row>
    <row r="904" spans="1:28" ht="15.75" customHeight="1">
      <c r="A904" s="125"/>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c r="AA904" s="125"/>
      <c r="AB904" s="125"/>
    </row>
    <row r="905" spans="1:28" ht="15.75" customHeight="1">
      <c r="A905" s="125"/>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c r="AA905" s="125"/>
      <c r="AB905" s="125"/>
    </row>
    <row r="906" spans="1:28" ht="15.75" customHeight="1">
      <c r="A906" s="125"/>
      <c r="B906" s="125"/>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c r="AA906" s="125"/>
      <c r="AB906" s="125"/>
    </row>
    <row r="907" spans="1:28" ht="15.75" customHeight="1">
      <c r="A907" s="125"/>
      <c r="B907" s="125"/>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c r="AA907" s="125"/>
      <c r="AB907" s="125"/>
    </row>
    <row r="908" spans="1:28" ht="15.75" customHeight="1">
      <c r="A908" s="125"/>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c r="AA908" s="125"/>
      <c r="AB908" s="125"/>
    </row>
    <row r="909" spans="1:28" ht="15.75" customHeight="1">
      <c r="A909" s="125"/>
      <c r="B909" s="125"/>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c r="AA909" s="125"/>
      <c r="AB909" s="125"/>
    </row>
    <row r="910" spans="1:28" ht="15.75" customHeight="1">
      <c r="A910" s="125"/>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c r="AA910" s="125"/>
      <c r="AB910" s="125"/>
    </row>
    <row r="911" spans="1:28" ht="15.75" customHeight="1">
      <c r="A911" s="125"/>
      <c r="B911" s="125"/>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c r="AA911" s="125"/>
      <c r="AB911" s="125"/>
    </row>
    <row r="912" spans="1:28" ht="15.75" customHeight="1">
      <c r="A912" s="125"/>
      <c r="B912" s="125"/>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c r="AA912" s="125"/>
      <c r="AB912" s="125"/>
    </row>
    <row r="913" spans="1:28" ht="15.75" customHeight="1">
      <c r="A913" s="125"/>
      <c r="B913" s="125"/>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c r="AA913" s="125"/>
      <c r="AB913" s="125"/>
    </row>
    <row r="914" spans="1:28" ht="15.75" customHeight="1">
      <c r="A914" s="125"/>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c r="AA914" s="125"/>
      <c r="AB914" s="125"/>
    </row>
    <row r="915" spans="1:28" ht="15.75" customHeight="1">
      <c r="A915" s="125"/>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c r="AA915" s="125"/>
      <c r="AB915" s="125"/>
    </row>
    <row r="916" spans="1:28" ht="15.75" customHeight="1">
      <c r="A916" s="125"/>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c r="AA916" s="125"/>
      <c r="AB916" s="125"/>
    </row>
    <row r="917" spans="1:28" ht="15.75" customHeight="1">
      <c r="A917" s="125"/>
      <c r="B917" s="125"/>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c r="AA917" s="125"/>
      <c r="AB917" s="125"/>
    </row>
    <row r="918" spans="1:28" ht="15.75" customHeight="1">
      <c r="A918" s="125"/>
      <c r="B918" s="125"/>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c r="AA918" s="125"/>
      <c r="AB918" s="125"/>
    </row>
    <row r="919" spans="1:28" ht="15.75" customHeight="1">
      <c r="A919" s="125"/>
      <c r="B919" s="125"/>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c r="AA919" s="125"/>
      <c r="AB919" s="125"/>
    </row>
    <row r="920" spans="1:28" ht="15.75" customHeight="1">
      <c r="A920" s="125"/>
      <c r="B920" s="125"/>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c r="AA920" s="125"/>
      <c r="AB920" s="125"/>
    </row>
    <row r="921" spans="1:28" ht="15.75" customHeight="1">
      <c r="A921" s="125"/>
      <c r="B921" s="125"/>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c r="AA921" s="125"/>
      <c r="AB921" s="125"/>
    </row>
    <row r="922" spans="1:28" ht="15.75" customHeight="1">
      <c r="A922" s="125"/>
      <c r="B922" s="125"/>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c r="AA922" s="125"/>
      <c r="AB922" s="125"/>
    </row>
    <row r="923" spans="1:28" ht="15.75" customHeight="1">
      <c r="A923" s="125"/>
      <c r="B923" s="125"/>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c r="AA923" s="125"/>
      <c r="AB923" s="125"/>
    </row>
    <row r="924" spans="1:28" ht="15.75" customHeight="1">
      <c r="A924" s="125"/>
      <c r="B924" s="125"/>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c r="AA924" s="125"/>
      <c r="AB924" s="125"/>
    </row>
    <row r="925" spans="1:28" ht="15.75" customHeight="1">
      <c r="A925" s="125"/>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c r="AA925" s="125"/>
      <c r="AB925" s="125"/>
    </row>
    <row r="926" spans="1:28" ht="15.75" customHeight="1">
      <c r="A926" s="125"/>
      <c r="B926" s="125"/>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c r="AA926" s="125"/>
      <c r="AB926" s="125"/>
    </row>
    <row r="927" spans="1:28" ht="15.75" customHeight="1">
      <c r="A927" s="125"/>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c r="AA927" s="125"/>
      <c r="AB927" s="125"/>
    </row>
    <row r="928" spans="1:28" ht="15.75" customHeight="1">
      <c r="A928" s="125"/>
      <c r="B928" s="125"/>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c r="AA928" s="125"/>
      <c r="AB928" s="125"/>
    </row>
    <row r="929" spans="1:28" ht="15.75" customHeight="1">
      <c r="A929" s="125"/>
      <c r="B929" s="125"/>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c r="AA929" s="125"/>
      <c r="AB929" s="125"/>
    </row>
    <row r="930" spans="1:28" ht="15.75" customHeight="1"/>
    <row r="931" spans="1:28" ht="15.75" customHeight="1"/>
    <row r="932" spans="1:28" ht="15.75" customHeight="1"/>
    <row r="933" spans="1:28" ht="15.75" customHeight="1"/>
    <row r="934" spans="1:28" ht="15.75" customHeight="1"/>
    <row r="935" spans="1:28" ht="15.75" customHeight="1"/>
    <row r="936" spans="1:28" ht="15.75" customHeight="1"/>
    <row r="937" spans="1:28" ht="15.75" customHeight="1"/>
    <row r="938" spans="1:28" ht="15.75" customHeight="1"/>
    <row r="939" spans="1:28" ht="15.75" customHeight="1"/>
    <row r="940" spans="1:28" ht="15.75" customHeight="1"/>
    <row r="941" spans="1:28" ht="15.75" customHeight="1"/>
    <row r="942" spans="1:28" ht="15.75" customHeight="1"/>
    <row r="943" spans="1:28" ht="15.75" customHeight="1"/>
    <row r="944" spans="1:28"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sheetData>
  <mergeCells count="12">
    <mergeCell ref="D30:D35"/>
    <mergeCell ref="D36:D65"/>
    <mergeCell ref="D4:D6"/>
    <mergeCell ref="D8:D12"/>
    <mergeCell ref="D13:D15"/>
    <mergeCell ref="D16:D24"/>
    <mergeCell ref="D25:D29"/>
    <mergeCell ref="D66:D68"/>
    <mergeCell ref="E196:F196"/>
    <mergeCell ref="E205:F205"/>
    <mergeCell ref="E213:F213"/>
    <mergeCell ref="E221:F221"/>
  </mergeCells>
  <conditionalFormatting sqref="H4:J144 H146:J161 H189:J194">
    <cfRule type="containsText" dxfId="3" priority="1" operator="containsText" text="PASS">
      <formula>NOT(ISERROR(SEARCH(("PASS"),(H4))))</formula>
    </cfRule>
  </conditionalFormatting>
  <conditionalFormatting sqref="H4:J144 H146:J161 H189:J194">
    <cfRule type="containsText" dxfId="2" priority="2" operator="containsText" text="NT">
      <formula>NOT(ISERROR(SEARCH(("NT"),(H4))))</formula>
    </cfRule>
  </conditionalFormatting>
  <conditionalFormatting sqref="H4:J144 H146:J161 H189:J194">
    <cfRule type="containsText" dxfId="1" priority="3" operator="containsText" text="NA">
      <formula>NOT(ISERROR(SEARCH(("NA"),(H4))))</formula>
    </cfRule>
  </conditionalFormatting>
  <conditionalFormatting sqref="H4:J144 H146:J161 H189:J194">
    <cfRule type="containsText" dxfId="0" priority="4" operator="containsText" text="FAIL">
      <formula>NOT(ISERROR(SEARCH(("FAIL"),(H4))))</formula>
    </cfRule>
  </conditionalFormatting>
  <dataValidations count="3">
    <dataValidation type="list" allowBlank="1" showErrorMessage="1" sqref="O4:O140">
      <formula1>"Nil,Ashick,Asif,MuthuKrishnan,Raashidahamed,Prasannanb,Sarankumar,Sasidharan,Senthil,Sivperumal,Sooriya,Ashwin,Varadharajan"</formula1>
    </dataValidation>
    <dataValidation type="list" allowBlank="1" showErrorMessage="1" sqref="H4:J144 H146:J161 H189:J194">
      <formula1>"PASS,FAIL,NA,NT"</formula1>
    </dataValidation>
    <dataValidation type="list" allowBlank="1" showErrorMessage="1" sqref="G4:G144 G146:G161 G189:G194">
      <formula1>"P1,P0"</formula1>
    </dataValidation>
  </dataValidations>
  <hyperlinks>
    <hyperlink ref="A2" location="SUMMARY!A1" display="Summary!A1"/>
    <hyperlink ref="C2" location="null!C23" display="Page Consolidation"/>
    <hyperlink ref="C213" location="null!C2" display="Move to Top"/>
    <hyperlink ref="C725" location="null!B4" display="Move to Top"/>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sheetPr>
    <tabColor rgb="FFC00000"/>
  </sheetPr>
  <dimension ref="B3:E100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2.59765625" defaultRowHeight="15" customHeight="1"/>
  <cols>
    <col min="1" max="1" width="7.59765625" customWidth="1"/>
    <col min="2" max="2" width="6.8984375" customWidth="1"/>
    <col min="3" max="3" width="8.09765625" customWidth="1"/>
    <col min="4" max="4" width="60.3984375" customWidth="1"/>
    <col min="5" max="5" width="13.69921875" customWidth="1"/>
    <col min="6" max="6" width="7.59765625" customWidth="1"/>
  </cols>
  <sheetData>
    <row r="3" spans="2:5" ht="14.4">
      <c r="B3" s="195" t="s">
        <v>923</v>
      </c>
      <c r="C3" s="196" t="s">
        <v>924</v>
      </c>
      <c r="D3" s="196" t="s">
        <v>925</v>
      </c>
      <c r="E3" s="196" t="s">
        <v>926</v>
      </c>
    </row>
    <row r="4" spans="2:5" ht="14.4">
      <c r="B4" s="197" t="s">
        <v>927</v>
      </c>
      <c r="C4" s="198" t="s">
        <v>928</v>
      </c>
      <c r="D4" s="39" t="s">
        <v>929</v>
      </c>
      <c r="E4" s="39" t="s">
        <v>930</v>
      </c>
    </row>
    <row r="5" spans="2:5" ht="14.4">
      <c r="B5" s="197" t="s">
        <v>927</v>
      </c>
      <c r="C5" s="198" t="s">
        <v>928</v>
      </c>
      <c r="D5" s="39" t="s">
        <v>929</v>
      </c>
      <c r="E5" s="39" t="s">
        <v>930</v>
      </c>
    </row>
    <row r="6" spans="2:5" ht="14.4">
      <c r="B6" s="197" t="s">
        <v>927</v>
      </c>
      <c r="C6" s="198" t="s">
        <v>928</v>
      </c>
      <c r="D6" s="39" t="s">
        <v>929</v>
      </c>
      <c r="E6" s="39" t="s">
        <v>930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sheetPr>
    <outlinePr summaryBelow="0" summaryRight="0"/>
  </sheetPr>
  <dimension ref="A1:R1000"/>
  <sheetViews>
    <sheetView workbookViewId="0">
      <pane ySplit="3" topLeftCell="A4" activePane="bottomLeft" state="frozen"/>
      <selection pane="bottomLeft" activeCell="B5" sqref="B5"/>
    </sheetView>
  </sheetViews>
  <sheetFormatPr defaultColWidth="12.59765625" defaultRowHeight="15" customHeight="1"/>
  <cols>
    <col min="1" max="1" width="5.69921875" customWidth="1"/>
    <col min="2" max="2" width="14.5" customWidth="1"/>
    <col min="3" max="3" width="81.59765625" customWidth="1"/>
    <col min="4" max="4" width="45.59765625" customWidth="1"/>
    <col min="5" max="5" width="47" customWidth="1"/>
    <col min="6" max="6" width="20.8984375" customWidth="1"/>
  </cols>
  <sheetData>
    <row r="1" spans="1:18" ht="14.4">
      <c r="A1" s="124"/>
      <c r="B1" s="125"/>
      <c r="C1" s="4"/>
      <c r="D1" s="125"/>
      <c r="E1" s="125"/>
      <c r="F1" s="4"/>
      <c r="G1" s="125"/>
      <c r="H1" s="125"/>
      <c r="I1" s="125"/>
      <c r="J1" s="125"/>
      <c r="K1" s="125"/>
      <c r="L1" s="125"/>
      <c r="M1" s="125"/>
      <c r="N1" s="125"/>
      <c r="O1" s="125"/>
      <c r="P1" s="125"/>
      <c r="Q1" s="125"/>
      <c r="R1" s="125"/>
    </row>
    <row r="2" spans="1:18" ht="28.8">
      <c r="A2" s="126" t="s">
        <v>134</v>
      </c>
      <c r="B2" s="127" t="s">
        <v>43</v>
      </c>
      <c r="C2" s="4"/>
      <c r="D2" s="125"/>
      <c r="E2" s="125"/>
      <c r="F2" s="4"/>
      <c r="G2" s="125"/>
      <c r="H2" s="125"/>
      <c r="I2" s="125"/>
      <c r="J2" s="125"/>
      <c r="K2" s="125"/>
      <c r="L2" s="125"/>
      <c r="M2" s="125"/>
      <c r="N2" s="125"/>
      <c r="O2" s="125"/>
      <c r="P2" s="125"/>
      <c r="Q2" s="125"/>
      <c r="R2" s="125"/>
    </row>
    <row r="3" spans="1:18" ht="14.4">
      <c r="A3" s="128"/>
      <c r="B3" s="28"/>
      <c r="C3" s="28" t="s">
        <v>931</v>
      </c>
      <c r="D3" s="28" t="s">
        <v>932</v>
      </c>
      <c r="E3" s="199"/>
      <c r="F3" s="129"/>
      <c r="G3" s="128"/>
      <c r="H3" s="128"/>
      <c r="I3" s="128"/>
      <c r="J3" s="128"/>
      <c r="K3" s="128"/>
      <c r="L3" s="128"/>
      <c r="M3" s="128"/>
      <c r="N3" s="128"/>
      <c r="O3" s="128"/>
      <c r="P3" s="128"/>
      <c r="Q3" s="128"/>
      <c r="R3" s="128"/>
    </row>
    <row r="4" spans="1:18" ht="14.4">
      <c r="A4" s="125"/>
      <c r="B4" s="58"/>
      <c r="C4" s="200"/>
      <c r="D4" s="200"/>
      <c r="E4" s="4"/>
      <c r="F4" s="125"/>
      <c r="G4" s="125"/>
      <c r="H4" s="125"/>
      <c r="I4" s="125"/>
      <c r="J4" s="125"/>
      <c r="K4" s="125"/>
      <c r="L4" s="125"/>
      <c r="M4" s="125"/>
      <c r="N4" s="125"/>
      <c r="O4" s="125"/>
      <c r="P4" s="125"/>
      <c r="Q4" s="125"/>
    </row>
    <row r="5" spans="1:18" ht="115.2">
      <c r="A5" s="125"/>
      <c r="B5" s="58" t="s">
        <v>933</v>
      </c>
      <c r="C5" s="200" t="s">
        <v>934</v>
      </c>
      <c r="D5" s="200"/>
      <c r="E5" s="4"/>
      <c r="F5" s="125"/>
      <c r="G5" s="125"/>
      <c r="H5" s="125"/>
      <c r="I5" s="125"/>
      <c r="J5" s="125"/>
      <c r="K5" s="125"/>
      <c r="L5" s="125"/>
      <c r="M5" s="125"/>
      <c r="N5" s="125"/>
      <c r="O5" s="125"/>
      <c r="P5" s="125"/>
      <c r="Q5" s="125"/>
    </row>
    <row r="6" spans="1:18" ht="54.75" customHeight="1">
      <c r="A6" s="125"/>
      <c r="B6" s="58" t="s">
        <v>935</v>
      </c>
      <c r="C6" s="200" t="s">
        <v>936</v>
      </c>
      <c r="D6" s="200"/>
      <c r="E6" s="4"/>
      <c r="F6" s="125"/>
      <c r="G6" s="125"/>
      <c r="H6" s="125"/>
      <c r="I6" s="125"/>
      <c r="J6" s="125"/>
      <c r="K6" s="125"/>
      <c r="L6" s="125"/>
      <c r="M6" s="125"/>
      <c r="N6" s="125"/>
      <c r="O6" s="125"/>
      <c r="P6" s="125"/>
      <c r="Q6" s="125"/>
    </row>
    <row r="7" spans="1:18" ht="74.25" customHeight="1">
      <c r="A7" s="125"/>
      <c r="B7" s="58" t="s">
        <v>937</v>
      </c>
      <c r="C7" s="200" t="s">
        <v>938</v>
      </c>
      <c r="D7" s="200"/>
      <c r="E7" s="4"/>
      <c r="F7" s="125"/>
      <c r="G7" s="125"/>
      <c r="H7" s="125"/>
      <c r="I7" s="125"/>
      <c r="J7" s="125"/>
      <c r="K7" s="125"/>
      <c r="L7" s="125"/>
      <c r="M7" s="125"/>
      <c r="N7" s="125"/>
      <c r="O7" s="125"/>
      <c r="P7" s="125"/>
      <c r="Q7" s="125"/>
    </row>
    <row r="8" spans="1:18" ht="264.75" customHeight="1">
      <c r="A8" s="125"/>
      <c r="B8" s="58" t="s">
        <v>939</v>
      </c>
      <c r="C8" s="200" t="s">
        <v>940</v>
      </c>
      <c r="D8" s="200"/>
      <c r="E8" s="4"/>
      <c r="F8" s="125"/>
      <c r="G8" s="125"/>
      <c r="H8" s="125"/>
      <c r="I8" s="125"/>
      <c r="J8" s="125"/>
      <c r="K8" s="125"/>
      <c r="L8" s="125"/>
      <c r="M8" s="125"/>
      <c r="N8" s="125"/>
      <c r="O8" s="125"/>
      <c r="P8" s="125"/>
      <c r="Q8" s="125"/>
    </row>
    <row r="9" spans="1:18" ht="172.8">
      <c r="A9" s="125"/>
      <c r="B9" s="58" t="s">
        <v>941</v>
      </c>
      <c r="C9" s="200" t="s">
        <v>942</v>
      </c>
      <c r="D9" s="200" t="s">
        <v>943</v>
      </c>
      <c r="E9" s="4"/>
      <c r="F9" s="125"/>
      <c r="G9" s="125"/>
      <c r="H9" s="125"/>
      <c r="I9" s="125"/>
      <c r="J9" s="125"/>
      <c r="K9" s="125"/>
      <c r="L9" s="125"/>
      <c r="M9" s="125"/>
      <c r="N9" s="125"/>
      <c r="O9" s="125"/>
      <c r="P9" s="125"/>
      <c r="Q9" s="125"/>
    </row>
    <row r="10" spans="1:18" ht="172.8">
      <c r="A10" s="125"/>
      <c r="B10" s="58" t="s">
        <v>944</v>
      </c>
      <c r="C10" s="200" t="s">
        <v>945</v>
      </c>
      <c r="D10" s="200"/>
      <c r="E10" s="4"/>
      <c r="F10" s="125"/>
      <c r="G10" s="125"/>
      <c r="H10" s="125"/>
      <c r="I10" s="125"/>
      <c r="J10" s="125"/>
      <c r="K10" s="125"/>
      <c r="L10" s="125"/>
      <c r="M10" s="125"/>
      <c r="N10" s="125"/>
      <c r="O10" s="125"/>
      <c r="P10" s="125"/>
      <c r="Q10" s="125"/>
    </row>
    <row r="11" spans="1:18" ht="129.6">
      <c r="A11" s="125"/>
      <c r="B11" s="58" t="s">
        <v>946</v>
      </c>
      <c r="C11" s="200" t="s">
        <v>947</v>
      </c>
      <c r="D11" s="200"/>
      <c r="E11" s="4"/>
      <c r="F11" s="125"/>
      <c r="G11" s="125"/>
      <c r="H11" s="125"/>
      <c r="I11" s="125"/>
      <c r="J11" s="125"/>
      <c r="K11" s="125"/>
      <c r="L11" s="125"/>
      <c r="M11" s="125"/>
      <c r="N11" s="125"/>
      <c r="O11" s="125"/>
      <c r="P11" s="125"/>
      <c r="Q11" s="125"/>
    </row>
    <row r="12" spans="1:18" ht="230.4">
      <c r="A12" s="125"/>
      <c r="B12" s="58" t="s">
        <v>948</v>
      </c>
      <c r="C12" s="200" t="s">
        <v>949</v>
      </c>
      <c r="D12" s="200"/>
      <c r="E12" s="4"/>
      <c r="F12" s="125"/>
      <c r="G12" s="125"/>
      <c r="H12" s="125"/>
      <c r="I12" s="125"/>
      <c r="J12" s="125"/>
      <c r="K12" s="125"/>
      <c r="L12" s="125"/>
      <c r="M12" s="125"/>
      <c r="N12" s="125"/>
      <c r="O12" s="125"/>
      <c r="P12" s="125"/>
      <c r="Q12" s="125"/>
    </row>
    <row r="13" spans="1:18" ht="14.4">
      <c r="A13" s="125"/>
      <c r="B13" s="58" t="s">
        <v>950</v>
      </c>
      <c r="C13" s="41" t="s">
        <v>951</v>
      </c>
      <c r="D13" s="200"/>
      <c r="E13" s="4"/>
      <c r="F13" s="125"/>
      <c r="G13" s="125"/>
      <c r="H13" s="125"/>
      <c r="I13" s="125"/>
      <c r="J13" s="125"/>
      <c r="K13" s="125"/>
      <c r="L13" s="125"/>
      <c r="M13" s="125"/>
      <c r="N13" s="125"/>
      <c r="O13" s="125"/>
      <c r="P13" s="125"/>
      <c r="Q13" s="125"/>
    </row>
    <row r="14" spans="1:18" ht="14.4">
      <c r="A14" s="125"/>
      <c r="B14" s="58" t="s">
        <v>952</v>
      </c>
      <c r="C14" s="200" t="s">
        <v>953</v>
      </c>
      <c r="D14" s="200"/>
      <c r="E14" s="4"/>
      <c r="F14" s="125"/>
      <c r="G14" s="125"/>
      <c r="H14" s="125"/>
      <c r="I14" s="125"/>
      <c r="J14" s="125"/>
      <c r="K14" s="125"/>
      <c r="L14" s="125"/>
      <c r="M14" s="125"/>
      <c r="N14" s="125"/>
      <c r="O14" s="125"/>
      <c r="P14" s="125"/>
      <c r="Q14" s="125"/>
    </row>
    <row r="15" spans="1:18" ht="86.4">
      <c r="A15" s="125"/>
      <c r="B15" s="58" t="s">
        <v>954</v>
      </c>
      <c r="C15" s="200" t="s">
        <v>955</v>
      </c>
      <c r="D15" s="200"/>
      <c r="E15" s="4"/>
      <c r="F15" s="125"/>
      <c r="G15" s="125"/>
      <c r="H15" s="125"/>
      <c r="I15" s="125"/>
      <c r="J15" s="125"/>
      <c r="K15" s="125"/>
      <c r="L15" s="125"/>
      <c r="M15" s="125"/>
      <c r="N15" s="125"/>
      <c r="O15" s="125"/>
      <c r="P15" s="125"/>
      <c r="Q15" s="125"/>
    </row>
    <row r="16" spans="1:18" ht="28.8">
      <c r="A16" s="125"/>
      <c r="B16" s="58" t="s">
        <v>956</v>
      </c>
      <c r="C16" s="200" t="s">
        <v>957</v>
      </c>
      <c r="D16" s="200"/>
      <c r="E16" s="4"/>
      <c r="F16" s="125"/>
      <c r="G16" s="125"/>
      <c r="H16" s="125"/>
      <c r="I16" s="125"/>
      <c r="J16" s="125"/>
      <c r="K16" s="125"/>
      <c r="L16" s="125"/>
      <c r="M16" s="125"/>
      <c r="N16" s="125"/>
      <c r="O16" s="125"/>
      <c r="P16" s="125"/>
      <c r="Q16" s="125"/>
    </row>
    <row r="17" spans="1:18" ht="28.8">
      <c r="A17" s="125"/>
      <c r="B17" s="58" t="s">
        <v>958</v>
      </c>
      <c r="C17" s="200" t="s">
        <v>959</v>
      </c>
      <c r="D17" s="200"/>
      <c r="E17" s="4"/>
      <c r="F17" s="125"/>
      <c r="G17" s="125"/>
      <c r="H17" s="125"/>
      <c r="I17" s="125"/>
      <c r="J17" s="125"/>
      <c r="K17" s="125"/>
      <c r="L17" s="125"/>
      <c r="M17" s="125"/>
      <c r="N17" s="125"/>
      <c r="O17" s="125"/>
      <c r="P17" s="125"/>
      <c r="Q17" s="125"/>
    </row>
    <row r="18" spans="1:18" ht="259.2">
      <c r="A18" s="125"/>
      <c r="B18" s="58" t="s">
        <v>960</v>
      </c>
      <c r="C18" s="200" t="s">
        <v>961</v>
      </c>
      <c r="D18" s="200"/>
      <c r="E18" s="4"/>
      <c r="F18" s="125"/>
      <c r="G18" s="125"/>
      <c r="H18" s="125"/>
      <c r="I18" s="125"/>
      <c r="J18" s="125"/>
      <c r="K18" s="125"/>
      <c r="L18" s="125"/>
      <c r="M18" s="125"/>
      <c r="N18" s="125"/>
      <c r="O18" s="125"/>
      <c r="P18" s="125"/>
      <c r="Q18" s="125"/>
    </row>
    <row r="19" spans="1:18" ht="15.75" customHeight="1">
      <c r="A19" s="125"/>
      <c r="B19" s="125"/>
      <c r="F19" s="4"/>
      <c r="G19" s="125"/>
      <c r="H19" s="125"/>
      <c r="I19" s="125"/>
      <c r="J19" s="125"/>
      <c r="K19" s="125"/>
      <c r="L19" s="125"/>
      <c r="M19" s="125"/>
      <c r="N19" s="125"/>
      <c r="O19" s="125"/>
      <c r="P19" s="125"/>
      <c r="Q19" s="125"/>
      <c r="R19" s="125"/>
    </row>
    <row r="20" spans="1:18" ht="15.75" customHeight="1">
      <c r="A20" s="125"/>
      <c r="B20" s="125"/>
      <c r="F20" s="4"/>
      <c r="G20" s="125"/>
      <c r="H20" s="125"/>
      <c r="I20" s="125"/>
      <c r="J20" s="125"/>
      <c r="K20" s="125"/>
      <c r="L20" s="125"/>
      <c r="M20" s="125"/>
      <c r="N20" s="125"/>
      <c r="O20" s="125"/>
      <c r="P20" s="125"/>
      <c r="Q20" s="125"/>
      <c r="R20" s="125"/>
    </row>
    <row r="21" spans="1:18" ht="15.75" customHeight="1">
      <c r="A21" s="125"/>
      <c r="B21" s="125"/>
      <c r="F21" s="4"/>
      <c r="G21" s="125"/>
      <c r="H21" s="125"/>
      <c r="I21" s="125"/>
      <c r="J21" s="125"/>
      <c r="K21" s="125"/>
      <c r="L21" s="125"/>
      <c r="M21" s="125"/>
      <c r="N21" s="125"/>
      <c r="O21" s="125"/>
      <c r="P21" s="125"/>
      <c r="Q21" s="125"/>
      <c r="R21" s="125"/>
    </row>
    <row r="22" spans="1:18" ht="15.75" customHeight="1">
      <c r="A22" s="125"/>
      <c r="B22" s="125"/>
      <c r="F22" s="4"/>
      <c r="G22" s="125"/>
      <c r="H22" s="125"/>
      <c r="I22" s="125"/>
      <c r="J22" s="125"/>
      <c r="K22" s="125"/>
      <c r="L22" s="125"/>
      <c r="M22" s="125"/>
      <c r="N22" s="125"/>
      <c r="O22" s="125"/>
      <c r="P22" s="125"/>
      <c r="Q22" s="125"/>
      <c r="R22" s="125"/>
    </row>
    <row r="23" spans="1:18" ht="15.75" customHeight="1">
      <c r="A23" s="125"/>
      <c r="B23" s="125"/>
      <c r="F23" s="4"/>
      <c r="G23" s="125"/>
      <c r="H23" s="125"/>
      <c r="I23" s="125"/>
      <c r="J23" s="125"/>
      <c r="K23" s="125"/>
      <c r="L23" s="125"/>
      <c r="M23" s="125"/>
      <c r="N23" s="125"/>
      <c r="O23" s="125"/>
      <c r="P23" s="125"/>
      <c r="Q23" s="125"/>
      <c r="R23" s="125"/>
    </row>
    <row r="24" spans="1:18" ht="15.75" customHeight="1">
      <c r="A24" s="125"/>
      <c r="B24" s="125"/>
      <c r="F24" s="4"/>
      <c r="G24" s="125"/>
      <c r="H24" s="125"/>
      <c r="I24" s="125"/>
      <c r="J24" s="125"/>
      <c r="K24" s="125"/>
      <c r="L24" s="125"/>
      <c r="M24" s="125"/>
      <c r="N24" s="125"/>
      <c r="O24" s="125"/>
      <c r="P24" s="125"/>
      <c r="Q24" s="125"/>
      <c r="R24" s="125"/>
    </row>
    <row r="25" spans="1:18" ht="15.75" customHeight="1">
      <c r="A25" s="125"/>
      <c r="B25" s="125"/>
      <c r="F25" s="4"/>
      <c r="G25" s="125"/>
      <c r="H25" s="125"/>
      <c r="I25" s="125"/>
      <c r="J25" s="125"/>
      <c r="K25" s="125"/>
      <c r="L25" s="125"/>
      <c r="M25" s="125"/>
      <c r="N25" s="125"/>
      <c r="O25" s="125"/>
      <c r="P25" s="125"/>
      <c r="Q25" s="125"/>
      <c r="R25" s="125"/>
    </row>
    <row r="26" spans="1:18" ht="15.75" customHeight="1">
      <c r="A26" s="125"/>
      <c r="B26" s="125"/>
      <c r="F26" s="4"/>
      <c r="G26" s="125"/>
      <c r="H26" s="125"/>
      <c r="I26" s="125"/>
      <c r="J26" s="125"/>
      <c r="K26" s="125"/>
      <c r="L26" s="125"/>
      <c r="M26" s="125"/>
      <c r="N26" s="125"/>
      <c r="O26" s="125"/>
      <c r="P26" s="125"/>
      <c r="Q26" s="125"/>
      <c r="R26" s="125"/>
    </row>
    <row r="27" spans="1:18" ht="15.75" customHeight="1">
      <c r="A27" s="125"/>
      <c r="B27" s="125"/>
      <c r="F27" s="4"/>
      <c r="G27" s="125"/>
      <c r="H27" s="125"/>
      <c r="I27" s="125"/>
      <c r="J27" s="125"/>
      <c r="K27" s="125"/>
      <c r="L27" s="125"/>
      <c r="M27" s="125"/>
      <c r="N27" s="125"/>
      <c r="O27" s="125"/>
      <c r="P27" s="125"/>
      <c r="Q27" s="125"/>
      <c r="R27" s="125"/>
    </row>
    <row r="28" spans="1:18" ht="15.75" customHeight="1">
      <c r="A28" s="125"/>
      <c r="B28" s="125"/>
      <c r="F28" s="4"/>
      <c r="G28" s="125"/>
      <c r="H28" s="125"/>
      <c r="I28" s="125"/>
      <c r="J28" s="125"/>
      <c r="K28" s="125"/>
      <c r="L28" s="125"/>
      <c r="M28" s="125"/>
      <c r="N28" s="125"/>
      <c r="O28" s="125"/>
      <c r="P28" s="125"/>
      <c r="Q28" s="125"/>
      <c r="R28" s="125"/>
    </row>
    <row r="29" spans="1:18" ht="15.75" customHeight="1">
      <c r="A29" s="125"/>
      <c r="B29" s="125"/>
      <c r="F29" s="4"/>
      <c r="G29" s="125"/>
      <c r="H29" s="125"/>
      <c r="I29" s="125"/>
      <c r="J29" s="125"/>
      <c r="K29" s="125"/>
      <c r="L29" s="125"/>
      <c r="M29" s="125"/>
      <c r="N29" s="125"/>
      <c r="O29" s="125"/>
      <c r="P29" s="125"/>
      <c r="Q29" s="125"/>
      <c r="R29" s="125"/>
    </row>
    <row r="30" spans="1:18" ht="15.75" customHeight="1">
      <c r="A30" s="125"/>
      <c r="B30" s="125"/>
      <c r="F30" s="4"/>
      <c r="G30" s="125"/>
      <c r="H30" s="125"/>
      <c r="I30" s="125"/>
      <c r="J30" s="125"/>
      <c r="K30" s="125"/>
      <c r="L30" s="125"/>
      <c r="M30" s="125"/>
      <c r="N30" s="125"/>
      <c r="O30" s="125"/>
      <c r="P30" s="125"/>
      <c r="Q30" s="125"/>
      <c r="R30" s="125"/>
    </row>
    <row r="31" spans="1:18" ht="15.75" customHeight="1">
      <c r="A31" s="125"/>
      <c r="B31" s="125"/>
      <c r="F31" s="4"/>
      <c r="G31" s="125"/>
      <c r="H31" s="125"/>
      <c r="I31" s="125"/>
      <c r="J31" s="125"/>
      <c r="K31" s="125"/>
      <c r="L31" s="125"/>
      <c r="M31" s="125"/>
      <c r="N31" s="125"/>
      <c r="O31" s="125"/>
      <c r="P31" s="125"/>
      <c r="Q31" s="125"/>
      <c r="R31" s="125"/>
    </row>
    <row r="32" spans="1:18" ht="15.75" customHeight="1">
      <c r="A32" s="125"/>
      <c r="B32" s="125"/>
      <c r="F32" s="4"/>
      <c r="G32" s="125"/>
      <c r="H32" s="125"/>
      <c r="I32" s="125"/>
      <c r="J32" s="125"/>
      <c r="K32" s="125"/>
      <c r="L32" s="125"/>
      <c r="M32" s="125"/>
      <c r="N32" s="125"/>
      <c r="O32" s="125"/>
      <c r="P32" s="125"/>
      <c r="Q32" s="125"/>
      <c r="R32" s="125"/>
    </row>
    <row r="33" spans="1:18" ht="15.75" customHeight="1">
      <c r="A33" s="125"/>
      <c r="B33" s="125"/>
      <c r="F33" s="4"/>
      <c r="G33" s="125"/>
      <c r="H33" s="125"/>
      <c r="I33" s="125"/>
      <c r="J33" s="125"/>
      <c r="K33" s="125"/>
      <c r="L33" s="125"/>
      <c r="M33" s="125"/>
      <c r="N33" s="125"/>
      <c r="O33" s="125"/>
      <c r="P33" s="125"/>
      <c r="Q33" s="125"/>
      <c r="R33" s="125"/>
    </row>
    <row r="34" spans="1:18" ht="15.75" customHeight="1">
      <c r="A34" s="125"/>
      <c r="B34" s="125"/>
      <c r="F34" s="4"/>
      <c r="G34" s="125"/>
      <c r="H34" s="125"/>
      <c r="I34" s="125"/>
      <c r="J34" s="125"/>
      <c r="K34" s="125"/>
      <c r="L34" s="125"/>
      <c r="M34" s="125"/>
      <c r="N34" s="125"/>
      <c r="O34" s="125"/>
      <c r="P34" s="125"/>
      <c r="Q34" s="125"/>
      <c r="R34" s="125"/>
    </row>
    <row r="35" spans="1:18" ht="15.75" customHeight="1">
      <c r="A35" s="125"/>
      <c r="B35" s="125"/>
      <c r="F35" s="4"/>
      <c r="G35" s="125"/>
      <c r="H35" s="125"/>
      <c r="I35" s="125"/>
      <c r="J35" s="125"/>
      <c r="K35" s="125"/>
      <c r="L35" s="125"/>
      <c r="M35" s="125"/>
      <c r="N35" s="125"/>
      <c r="O35" s="125"/>
      <c r="P35" s="125"/>
      <c r="Q35" s="125"/>
      <c r="R35" s="125"/>
    </row>
    <row r="36" spans="1:18" ht="15.75" customHeight="1">
      <c r="A36" s="125"/>
      <c r="B36" s="125"/>
      <c r="F36" s="4"/>
      <c r="G36" s="125"/>
      <c r="H36" s="125"/>
      <c r="I36" s="125"/>
      <c r="J36" s="125"/>
      <c r="K36" s="125"/>
      <c r="L36" s="125"/>
      <c r="M36" s="125"/>
      <c r="N36" s="125"/>
      <c r="O36" s="125"/>
      <c r="P36" s="125"/>
      <c r="Q36" s="125"/>
      <c r="R36" s="125"/>
    </row>
    <row r="37" spans="1:18" ht="15.75" customHeight="1">
      <c r="A37" s="125"/>
      <c r="B37" s="125"/>
      <c r="F37" s="4"/>
      <c r="G37" s="125"/>
      <c r="H37" s="125"/>
      <c r="I37" s="125"/>
      <c r="J37" s="125"/>
      <c r="K37" s="125"/>
      <c r="L37" s="125"/>
      <c r="M37" s="125"/>
      <c r="N37" s="125"/>
      <c r="O37" s="125"/>
      <c r="P37" s="125"/>
      <c r="Q37" s="125"/>
      <c r="R37" s="125"/>
    </row>
    <row r="38" spans="1:18" ht="15.75" customHeight="1">
      <c r="A38" s="125"/>
      <c r="B38" s="125"/>
      <c r="F38" s="4"/>
      <c r="G38" s="125"/>
      <c r="H38" s="125"/>
      <c r="I38" s="125"/>
      <c r="J38" s="125"/>
      <c r="K38" s="125"/>
      <c r="L38" s="125"/>
      <c r="M38" s="125"/>
      <c r="N38" s="125"/>
      <c r="O38" s="125"/>
      <c r="P38" s="125"/>
      <c r="Q38" s="125"/>
      <c r="R38" s="125"/>
    </row>
    <row r="39" spans="1:18" ht="15.75" customHeight="1">
      <c r="A39" s="125"/>
      <c r="B39" s="125"/>
      <c r="F39" s="4"/>
      <c r="G39" s="125"/>
      <c r="H39" s="125"/>
      <c r="I39" s="125"/>
      <c r="J39" s="125"/>
      <c r="K39" s="125"/>
      <c r="L39" s="125"/>
      <c r="M39" s="125"/>
      <c r="N39" s="125"/>
      <c r="O39" s="125"/>
      <c r="P39" s="125"/>
      <c r="Q39" s="125"/>
      <c r="R39" s="125"/>
    </row>
    <row r="40" spans="1:18" ht="15.75" customHeight="1">
      <c r="A40" s="125"/>
      <c r="B40" s="125"/>
      <c r="F40" s="4"/>
      <c r="G40" s="125"/>
      <c r="H40" s="125"/>
      <c r="I40" s="125"/>
      <c r="J40" s="125"/>
      <c r="K40" s="125"/>
      <c r="L40" s="125"/>
      <c r="M40" s="125"/>
      <c r="N40" s="125"/>
      <c r="O40" s="125"/>
      <c r="P40" s="125"/>
      <c r="Q40" s="125"/>
      <c r="R40" s="125"/>
    </row>
    <row r="41" spans="1:18" ht="15.75" customHeight="1">
      <c r="A41" s="125"/>
      <c r="B41" s="125"/>
      <c r="F41" s="4"/>
      <c r="G41" s="125"/>
      <c r="H41" s="125"/>
      <c r="I41" s="125"/>
      <c r="J41" s="125"/>
      <c r="K41" s="125"/>
      <c r="L41" s="125"/>
      <c r="M41" s="125"/>
      <c r="N41" s="125"/>
      <c r="O41" s="125"/>
      <c r="P41" s="125"/>
      <c r="Q41" s="125"/>
      <c r="R41" s="125"/>
    </row>
    <row r="42" spans="1:18" ht="15.75" customHeight="1">
      <c r="A42" s="125"/>
      <c r="B42" s="125"/>
      <c r="F42" s="4"/>
      <c r="G42" s="125"/>
      <c r="H42" s="125"/>
      <c r="I42" s="125"/>
      <c r="J42" s="125"/>
      <c r="K42" s="125"/>
      <c r="L42" s="125"/>
      <c r="M42" s="125"/>
      <c r="N42" s="125"/>
      <c r="O42" s="125"/>
      <c r="P42" s="125"/>
      <c r="Q42" s="125"/>
      <c r="R42" s="125"/>
    </row>
    <row r="43" spans="1:18" ht="15.75" customHeight="1">
      <c r="A43" s="125"/>
      <c r="B43" s="125"/>
      <c r="F43" s="4"/>
      <c r="G43" s="125"/>
      <c r="H43" s="125"/>
      <c r="I43" s="125"/>
      <c r="J43" s="125"/>
      <c r="K43" s="125"/>
      <c r="L43" s="125"/>
      <c r="M43" s="125"/>
      <c r="N43" s="125"/>
      <c r="O43" s="125"/>
      <c r="P43" s="125"/>
      <c r="Q43" s="125"/>
      <c r="R43" s="125"/>
    </row>
    <row r="44" spans="1:18" ht="15.75" customHeight="1">
      <c r="A44" s="125"/>
      <c r="B44" s="125"/>
      <c r="F44" s="4"/>
      <c r="G44" s="125"/>
      <c r="H44" s="125"/>
      <c r="I44" s="125"/>
      <c r="J44" s="125"/>
      <c r="K44" s="125"/>
      <c r="L44" s="125"/>
      <c r="M44" s="125"/>
      <c r="N44" s="125"/>
      <c r="O44" s="125"/>
      <c r="P44" s="125"/>
      <c r="Q44" s="125"/>
      <c r="R44" s="125"/>
    </row>
    <row r="45" spans="1:18" ht="15.75" customHeight="1">
      <c r="A45" s="125"/>
      <c r="B45" s="125"/>
      <c r="F45" s="4"/>
      <c r="G45" s="125"/>
      <c r="H45" s="125"/>
      <c r="I45" s="125"/>
      <c r="J45" s="125"/>
      <c r="K45" s="125"/>
      <c r="L45" s="125"/>
      <c r="M45" s="125"/>
      <c r="N45" s="125"/>
      <c r="O45" s="125"/>
      <c r="P45" s="125"/>
      <c r="Q45" s="125"/>
      <c r="R45" s="125"/>
    </row>
    <row r="46" spans="1:18" ht="15.75" customHeight="1">
      <c r="A46" s="125"/>
      <c r="B46" s="125"/>
      <c r="C46" s="4"/>
      <c r="D46" s="125"/>
      <c r="E46" s="125"/>
      <c r="F46" s="4"/>
      <c r="G46" s="125"/>
      <c r="H46" s="125"/>
      <c r="I46" s="125"/>
      <c r="J46" s="125"/>
      <c r="K46" s="125"/>
      <c r="L46" s="125"/>
      <c r="M46" s="125"/>
      <c r="N46" s="125"/>
      <c r="O46" s="125"/>
      <c r="P46" s="125"/>
      <c r="Q46" s="125"/>
      <c r="R46" s="125"/>
    </row>
    <row r="47" spans="1:18" ht="15.75" customHeight="1">
      <c r="A47" s="125"/>
      <c r="B47" s="125"/>
      <c r="C47" s="4"/>
      <c r="D47" s="125"/>
      <c r="E47" s="125"/>
      <c r="F47" s="4"/>
      <c r="G47" s="125"/>
      <c r="H47" s="125"/>
      <c r="I47" s="125"/>
      <c r="J47" s="125"/>
      <c r="K47" s="125"/>
      <c r="L47" s="125"/>
      <c r="M47" s="125"/>
      <c r="N47" s="125"/>
      <c r="O47" s="125"/>
      <c r="P47" s="125"/>
      <c r="Q47" s="125"/>
      <c r="R47" s="125"/>
    </row>
    <row r="48" spans="1:18" ht="15.75" customHeight="1">
      <c r="A48" s="125"/>
      <c r="B48" s="125"/>
      <c r="C48" s="4"/>
      <c r="D48" s="125"/>
      <c r="E48" s="125"/>
      <c r="F48" s="4"/>
      <c r="G48" s="125"/>
      <c r="H48" s="125"/>
      <c r="I48" s="125"/>
      <c r="J48" s="125"/>
      <c r="K48" s="125"/>
      <c r="L48" s="125"/>
      <c r="M48" s="125"/>
      <c r="N48" s="125"/>
      <c r="O48" s="125"/>
      <c r="P48" s="125"/>
      <c r="Q48" s="125"/>
      <c r="R48" s="125"/>
    </row>
    <row r="49" spans="1:18" ht="15.75" customHeight="1">
      <c r="A49" s="125"/>
      <c r="B49" s="125"/>
      <c r="C49" s="4"/>
      <c r="D49" s="125"/>
      <c r="E49" s="125"/>
      <c r="F49" s="4"/>
      <c r="G49" s="125"/>
      <c r="H49" s="125"/>
      <c r="I49" s="125"/>
      <c r="J49" s="125"/>
      <c r="K49" s="125"/>
      <c r="L49" s="125"/>
      <c r="M49" s="125"/>
      <c r="N49" s="125"/>
      <c r="O49" s="125"/>
      <c r="P49" s="125"/>
      <c r="Q49" s="125"/>
      <c r="R49" s="125"/>
    </row>
    <row r="50" spans="1:18" ht="15.75" customHeight="1">
      <c r="A50" s="125"/>
      <c r="B50" s="125"/>
      <c r="C50" s="4"/>
      <c r="D50" s="125"/>
      <c r="E50" s="125"/>
      <c r="F50" s="4"/>
      <c r="G50" s="125"/>
      <c r="H50" s="125"/>
      <c r="I50" s="125"/>
      <c r="J50" s="125"/>
      <c r="K50" s="125"/>
      <c r="L50" s="125"/>
      <c r="M50" s="125"/>
      <c r="N50" s="125"/>
      <c r="O50" s="125"/>
      <c r="P50" s="125"/>
      <c r="Q50" s="125"/>
      <c r="R50" s="125"/>
    </row>
    <row r="51" spans="1:18" ht="15.75" customHeight="1">
      <c r="A51" s="125"/>
      <c r="B51" s="125"/>
      <c r="C51" s="4"/>
      <c r="D51" s="125"/>
      <c r="E51" s="125"/>
      <c r="F51" s="4"/>
      <c r="G51" s="125"/>
      <c r="H51" s="125"/>
      <c r="I51" s="125"/>
      <c r="J51" s="125"/>
      <c r="K51" s="125"/>
      <c r="L51" s="125"/>
      <c r="M51" s="125"/>
      <c r="N51" s="125"/>
      <c r="O51" s="125"/>
      <c r="P51" s="125"/>
      <c r="Q51" s="125"/>
      <c r="R51" s="125"/>
    </row>
    <row r="52" spans="1:18" ht="15.75" customHeight="1">
      <c r="A52" s="125"/>
      <c r="B52" s="125"/>
      <c r="C52" s="4"/>
      <c r="D52" s="125"/>
      <c r="E52" s="125"/>
      <c r="F52" s="4"/>
      <c r="G52" s="125"/>
      <c r="H52" s="125"/>
      <c r="I52" s="125"/>
      <c r="J52" s="125"/>
      <c r="K52" s="125"/>
      <c r="L52" s="125"/>
      <c r="M52" s="125"/>
      <c r="N52" s="125"/>
      <c r="O52" s="125"/>
      <c r="P52" s="125"/>
      <c r="Q52" s="125"/>
      <c r="R52" s="125"/>
    </row>
    <row r="53" spans="1:18" ht="15.75" customHeight="1">
      <c r="A53" s="125"/>
      <c r="B53" s="125"/>
      <c r="C53" s="4"/>
      <c r="D53" s="125"/>
      <c r="E53" s="125"/>
      <c r="F53" s="4"/>
      <c r="G53" s="125"/>
      <c r="H53" s="125"/>
      <c r="I53" s="125"/>
      <c r="J53" s="125"/>
      <c r="K53" s="125"/>
      <c r="L53" s="125"/>
      <c r="M53" s="125"/>
      <c r="N53" s="125"/>
      <c r="O53" s="125"/>
      <c r="P53" s="125"/>
      <c r="Q53" s="125"/>
      <c r="R53" s="125"/>
    </row>
    <row r="54" spans="1:18" ht="15.75" customHeight="1">
      <c r="A54" s="125"/>
      <c r="B54" s="125"/>
      <c r="C54" s="4"/>
      <c r="D54" s="125"/>
      <c r="E54" s="125"/>
      <c r="F54" s="4"/>
      <c r="G54" s="125"/>
      <c r="H54" s="125"/>
      <c r="I54" s="125"/>
      <c r="J54" s="125"/>
      <c r="K54" s="125"/>
      <c r="L54" s="125"/>
      <c r="M54" s="125"/>
      <c r="N54" s="125"/>
      <c r="O54" s="125"/>
      <c r="P54" s="125"/>
      <c r="Q54" s="125"/>
      <c r="R54" s="125"/>
    </row>
    <row r="55" spans="1:18" ht="15.75" customHeight="1">
      <c r="A55" s="125"/>
      <c r="B55" s="125"/>
      <c r="C55" s="4"/>
      <c r="D55" s="125"/>
      <c r="E55" s="125"/>
      <c r="F55" s="4"/>
      <c r="G55" s="125"/>
      <c r="H55" s="125"/>
      <c r="I55" s="125"/>
      <c r="J55" s="125"/>
      <c r="K55" s="125"/>
      <c r="L55" s="125"/>
      <c r="M55" s="125"/>
      <c r="N55" s="125"/>
      <c r="O55" s="125"/>
      <c r="P55" s="125"/>
      <c r="Q55" s="125"/>
      <c r="R55" s="125"/>
    </row>
    <row r="56" spans="1:18" ht="15.75" customHeight="1">
      <c r="A56" s="125"/>
      <c r="B56" s="125"/>
      <c r="C56" s="4"/>
      <c r="D56" s="125"/>
      <c r="E56" s="125"/>
      <c r="F56" s="4"/>
      <c r="G56" s="125"/>
      <c r="H56" s="125"/>
      <c r="I56" s="125"/>
      <c r="J56" s="125"/>
      <c r="K56" s="125"/>
      <c r="L56" s="125"/>
      <c r="M56" s="125"/>
      <c r="N56" s="125"/>
      <c r="O56" s="125"/>
      <c r="P56" s="125"/>
      <c r="Q56" s="125"/>
      <c r="R56" s="125"/>
    </row>
    <row r="57" spans="1:18" ht="15.75" customHeight="1">
      <c r="A57" s="125"/>
      <c r="B57" s="125"/>
      <c r="C57" s="4"/>
      <c r="D57" s="125"/>
      <c r="E57" s="125"/>
      <c r="F57" s="4"/>
      <c r="G57" s="125"/>
      <c r="H57" s="125"/>
      <c r="I57" s="125"/>
      <c r="J57" s="125"/>
      <c r="K57" s="125"/>
      <c r="L57" s="125"/>
      <c r="M57" s="125"/>
      <c r="N57" s="125"/>
      <c r="O57" s="125"/>
      <c r="P57" s="125"/>
      <c r="Q57" s="125"/>
      <c r="R57" s="125"/>
    </row>
    <row r="58" spans="1:18" ht="15.75" customHeight="1">
      <c r="A58" s="125"/>
      <c r="B58" s="125"/>
      <c r="C58" s="4"/>
      <c r="D58" s="125"/>
      <c r="E58" s="125"/>
      <c r="F58" s="4"/>
      <c r="G58" s="125"/>
      <c r="H58" s="125"/>
      <c r="I58" s="125"/>
      <c r="J58" s="125"/>
      <c r="K58" s="125"/>
      <c r="L58" s="125"/>
      <c r="M58" s="125"/>
      <c r="N58" s="125"/>
      <c r="O58" s="125"/>
      <c r="P58" s="125"/>
      <c r="Q58" s="125"/>
      <c r="R58" s="125"/>
    </row>
    <row r="59" spans="1:18" ht="15.75" customHeight="1">
      <c r="A59" s="125"/>
      <c r="B59" s="125"/>
      <c r="C59" s="4"/>
      <c r="D59" s="125"/>
      <c r="E59" s="125"/>
      <c r="F59" s="4"/>
      <c r="G59" s="125"/>
      <c r="H59" s="125"/>
      <c r="I59" s="125"/>
      <c r="J59" s="125"/>
      <c r="K59" s="125"/>
      <c r="L59" s="125"/>
      <c r="M59" s="125"/>
      <c r="N59" s="125"/>
      <c r="O59" s="125"/>
      <c r="P59" s="125"/>
      <c r="Q59" s="125"/>
      <c r="R59" s="125"/>
    </row>
    <row r="60" spans="1:18" ht="15.75" customHeight="1">
      <c r="A60" s="125"/>
      <c r="B60" s="125"/>
      <c r="C60" s="4"/>
      <c r="D60" s="125"/>
      <c r="E60" s="125"/>
      <c r="F60" s="4"/>
      <c r="G60" s="125"/>
      <c r="H60" s="125"/>
      <c r="I60" s="125"/>
      <c r="J60" s="125"/>
      <c r="K60" s="125"/>
      <c r="L60" s="125"/>
      <c r="M60" s="125"/>
      <c r="N60" s="125"/>
      <c r="O60" s="125"/>
      <c r="P60" s="125"/>
      <c r="Q60" s="125"/>
      <c r="R60" s="125"/>
    </row>
    <row r="61" spans="1:18" ht="15.75" customHeight="1">
      <c r="A61" s="125"/>
      <c r="B61" s="125"/>
      <c r="C61" s="4"/>
      <c r="D61" s="125"/>
      <c r="E61" s="125"/>
      <c r="F61" s="4"/>
      <c r="G61" s="125"/>
      <c r="H61" s="125"/>
      <c r="I61" s="125"/>
      <c r="J61" s="125"/>
      <c r="K61" s="125"/>
      <c r="L61" s="125"/>
      <c r="M61" s="125"/>
      <c r="N61" s="125"/>
      <c r="O61" s="125"/>
      <c r="P61" s="125"/>
      <c r="Q61" s="125"/>
      <c r="R61" s="125"/>
    </row>
    <row r="62" spans="1:18" ht="15.75" customHeight="1">
      <c r="A62" s="125"/>
      <c r="B62" s="125"/>
      <c r="C62" s="4"/>
      <c r="D62" s="125"/>
      <c r="E62" s="125"/>
      <c r="F62" s="4"/>
      <c r="G62" s="125"/>
      <c r="H62" s="125"/>
      <c r="I62" s="125"/>
      <c r="J62" s="125"/>
      <c r="K62" s="125"/>
      <c r="L62" s="125"/>
      <c r="M62" s="125"/>
      <c r="N62" s="125"/>
      <c r="O62" s="125"/>
      <c r="P62" s="125"/>
      <c r="Q62" s="125"/>
      <c r="R62" s="125"/>
    </row>
    <row r="63" spans="1:18" ht="15.75" customHeight="1">
      <c r="A63" s="125"/>
      <c r="B63" s="125"/>
      <c r="C63" s="4"/>
      <c r="D63" s="125"/>
      <c r="E63" s="125"/>
      <c r="F63" s="4"/>
      <c r="G63" s="125"/>
      <c r="H63" s="125"/>
      <c r="I63" s="125"/>
      <c r="J63" s="125"/>
      <c r="K63" s="125"/>
      <c r="L63" s="125"/>
      <c r="M63" s="125"/>
      <c r="N63" s="125"/>
      <c r="O63" s="125"/>
      <c r="P63" s="125"/>
      <c r="Q63" s="125"/>
      <c r="R63" s="125"/>
    </row>
    <row r="64" spans="1:18" ht="15.75" customHeight="1">
      <c r="A64" s="125"/>
      <c r="B64" s="125"/>
      <c r="C64" s="4"/>
      <c r="D64" s="125"/>
      <c r="E64" s="125"/>
      <c r="F64" s="4"/>
      <c r="G64" s="125"/>
      <c r="H64" s="125"/>
      <c r="I64" s="125"/>
      <c r="J64" s="125"/>
      <c r="K64" s="125"/>
      <c r="L64" s="125"/>
      <c r="M64" s="125"/>
      <c r="N64" s="125"/>
      <c r="O64" s="125"/>
      <c r="P64" s="125"/>
      <c r="Q64" s="125"/>
      <c r="R64" s="125"/>
    </row>
    <row r="65" spans="1:18" ht="15.75" customHeight="1">
      <c r="A65" s="125"/>
      <c r="B65" s="125"/>
      <c r="C65" s="4"/>
      <c r="D65" s="125"/>
      <c r="E65" s="125"/>
      <c r="F65" s="4"/>
      <c r="G65" s="125"/>
      <c r="H65" s="125"/>
      <c r="I65" s="125"/>
      <c r="J65" s="125"/>
      <c r="K65" s="125"/>
      <c r="L65" s="125"/>
      <c r="M65" s="125"/>
      <c r="N65" s="125"/>
      <c r="O65" s="125"/>
      <c r="P65" s="125"/>
      <c r="Q65" s="125"/>
      <c r="R65" s="125"/>
    </row>
    <row r="66" spans="1:18" ht="15.75" customHeight="1">
      <c r="A66" s="125"/>
      <c r="B66" s="125"/>
      <c r="C66" s="4"/>
      <c r="D66" s="125"/>
      <c r="E66" s="125"/>
      <c r="F66" s="4"/>
      <c r="G66" s="125"/>
      <c r="H66" s="125"/>
      <c r="I66" s="125"/>
      <c r="J66" s="125"/>
      <c r="K66" s="125"/>
      <c r="L66" s="125"/>
      <c r="M66" s="125"/>
      <c r="N66" s="125"/>
      <c r="O66" s="125"/>
      <c r="P66" s="125"/>
      <c r="Q66" s="125"/>
      <c r="R66" s="125"/>
    </row>
    <row r="67" spans="1:18" ht="15.75" customHeight="1">
      <c r="A67" s="125"/>
      <c r="B67" s="125"/>
      <c r="C67" s="4"/>
      <c r="D67" s="125"/>
      <c r="E67" s="125"/>
      <c r="F67" s="4"/>
      <c r="G67" s="125"/>
      <c r="H67" s="125"/>
      <c r="I67" s="125"/>
      <c r="J67" s="125"/>
      <c r="K67" s="125"/>
      <c r="L67" s="125"/>
      <c r="M67" s="125"/>
      <c r="N67" s="125"/>
      <c r="O67" s="125"/>
      <c r="P67" s="125"/>
      <c r="Q67" s="125"/>
      <c r="R67" s="125"/>
    </row>
    <row r="68" spans="1:18" ht="15.75" customHeight="1">
      <c r="A68" s="125"/>
      <c r="B68" s="125"/>
      <c r="C68" s="4"/>
      <c r="D68" s="125"/>
      <c r="E68" s="125"/>
      <c r="F68" s="4"/>
      <c r="G68" s="125"/>
      <c r="H68" s="125"/>
      <c r="I68" s="125"/>
      <c r="J68" s="125"/>
      <c r="K68" s="125"/>
      <c r="L68" s="125"/>
      <c r="M68" s="125"/>
      <c r="N68" s="125"/>
      <c r="O68" s="125"/>
      <c r="P68" s="125"/>
      <c r="Q68" s="125"/>
      <c r="R68" s="125"/>
    </row>
    <row r="69" spans="1:18" ht="15.75" customHeight="1">
      <c r="A69" s="125"/>
      <c r="B69" s="125"/>
      <c r="C69" s="4"/>
      <c r="D69" s="125"/>
      <c r="E69" s="125"/>
      <c r="F69" s="4"/>
      <c r="G69" s="125"/>
      <c r="H69" s="125"/>
      <c r="I69" s="125"/>
      <c r="J69" s="125"/>
      <c r="K69" s="125"/>
      <c r="L69" s="125"/>
      <c r="M69" s="125"/>
      <c r="N69" s="125"/>
      <c r="O69" s="125"/>
      <c r="P69" s="125"/>
      <c r="Q69" s="125"/>
      <c r="R69" s="125"/>
    </row>
    <row r="70" spans="1:18" ht="15.75" customHeight="1">
      <c r="A70" s="125"/>
      <c r="B70" s="125"/>
      <c r="C70" s="4"/>
      <c r="D70" s="125"/>
      <c r="E70" s="125"/>
      <c r="F70" s="4"/>
      <c r="G70" s="125"/>
      <c r="H70" s="125"/>
      <c r="I70" s="125"/>
      <c r="J70" s="125"/>
      <c r="K70" s="125"/>
      <c r="L70" s="125"/>
      <c r="M70" s="125"/>
      <c r="N70" s="125"/>
      <c r="O70" s="125"/>
      <c r="P70" s="125"/>
      <c r="Q70" s="125"/>
      <c r="R70" s="125"/>
    </row>
    <row r="71" spans="1:18" ht="15.75" customHeight="1">
      <c r="A71" s="125"/>
      <c r="B71" s="125"/>
      <c r="C71" s="4"/>
      <c r="D71" s="125"/>
      <c r="E71" s="125"/>
      <c r="F71" s="4"/>
      <c r="G71" s="125"/>
      <c r="H71" s="125"/>
      <c r="I71" s="125"/>
      <c r="J71" s="125"/>
      <c r="K71" s="125"/>
      <c r="L71" s="125"/>
      <c r="M71" s="125"/>
      <c r="N71" s="125"/>
      <c r="O71" s="125"/>
      <c r="P71" s="125"/>
      <c r="Q71" s="125"/>
      <c r="R71" s="125"/>
    </row>
    <row r="72" spans="1:18" ht="15.75" customHeight="1">
      <c r="A72" s="125"/>
      <c r="B72" s="125"/>
      <c r="C72" s="4"/>
      <c r="D72" s="125"/>
      <c r="E72" s="125"/>
      <c r="F72" s="4"/>
      <c r="G72" s="125"/>
      <c r="H72" s="125"/>
      <c r="I72" s="125"/>
      <c r="J72" s="125"/>
      <c r="K72" s="125"/>
      <c r="L72" s="125"/>
      <c r="M72" s="125"/>
      <c r="N72" s="125"/>
      <c r="O72" s="125"/>
      <c r="P72" s="125"/>
      <c r="Q72" s="125"/>
      <c r="R72" s="125"/>
    </row>
    <row r="73" spans="1:18" ht="15.75" customHeight="1">
      <c r="A73" s="125"/>
      <c r="B73" s="125"/>
      <c r="C73" s="4"/>
      <c r="D73" s="125"/>
      <c r="E73" s="125"/>
      <c r="F73" s="4"/>
      <c r="G73" s="125"/>
      <c r="H73" s="125"/>
      <c r="I73" s="125"/>
      <c r="J73" s="125"/>
      <c r="K73" s="125"/>
      <c r="L73" s="125"/>
      <c r="M73" s="125"/>
      <c r="N73" s="125"/>
      <c r="O73" s="125"/>
      <c r="P73" s="125"/>
      <c r="Q73" s="125"/>
      <c r="R73" s="125"/>
    </row>
    <row r="74" spans="1:18" ht="15.75" customHeight="1">
      <c r="A74" s="125"/>
      <c r="B74" s="125"/>
      <c r="C74" s="4"/>
      <c r="D74" s="125"/>
      <c r="E74" s="125"/>
      <c r="F74" s="4"/>
      <c r="G74" s="125"/>
      <c r="H74" s="125"/>
      <c r="I74" s="125"/>
      <c r="J74" s="125"/>
      <c r="K74" s="125"/>
      <c r="L74" s="125"/>
      <c r="M74" s="125"/>
      <c r="N74" s="125"/>
      <c r="O74" s="125"/>
      <c r="P74" s="125"/>
      <c r="Q74" s="125"/>
      <c r="R74" s="125"/>
    </row>
    <row r="75" spans="1:18" ht="15.75" customHeight="1">
      <c r="A75" s="125"/>
      <c r="B75" s="125"/>
      <c r="C75" s="4"/>
      <c r="D75" s="125"/>
      <c r="E75" s="125"/>
      <c r="F75" s="4"/>
      <c r="G75" s="125"/>
      <c r="H75" s="125"/>
      <c r="I75" s="125"/>
      <c r="J75" s="125"/>
      <c r="K75" s="125"/>
      <c r="L75" s="125"/>
      <c r="M75" s="125"/>
      <c r="N75" s="125"/>
      <c r="O75" s="125"/>
      <c r="P75" s="125"/>
      <c r="Q75" s="125"/>
      <c r="R75" s="125"/>
    </row>
    <row r="76" spans="1:18" ht="15.75" customHeight="1">
      <c r="A76" s="125"/>
      <c r="B76" s="125"/>
      <c r="C76" s="4"/>
      <c r="D76" s="125"/>
      <c r="E76" s="125"/>
      <c r="F76" s="4"/>
      <c r="G76" s="125"/>
      <c r="H76" s="125"/>
      <c r="I76" s="125"/>
      <c r="J76" s="125"/>
      <c r="K76" s="125"/>
      <c r="L76" s="125"/>
      <c r="M76" s="125"/>
      <c r="N76" s="125"/>
      <c r="O76" s="125"/>
      <c r="P76" s="125"/>
      <c r="Q76" s="125"/>
      <c r="R76" s="125"/>
    </row>
    <row r="77" spans="1:18" ht="15.75" customHeight="1">
      <c r="A77" s="125"/>
      <c r="B77" s="125"/>
      <c r="C77" s="4"/>
      <c r="D77" s="125"/>
      <c r="E77" s="125"/>
      <c r="F77" s="4"/>
      <c r="G77" s="125"/>
      <c r="H77" s="125"/>
      <c r="I77" s="125"/>
      <c r="J77" s="125"/>
      <c r="K77" s="125"/>
      <c r="L77" s="125"/>
      <c r="M77" s="125"/>
      <c r="N77" s="125"/>
      <c r="O77" s="125"/>
      <c r="P77" s="125"/>
      <c r="Q77" s="125"/>
      <c r="R77" s="125"/>
    </row>
    <row r="78" spans="1:18" ht="15.75" customHeight="1">
      <c r="A78" s="125"/>
      <c r="B78" s="125"/>
      <c r="C78" s="4"/>
      <c r="D78" s="125"/>
      <c r="E78" s="125"/>
      <c r="F78" s="4"/>
      <c r="G78" s="125"/>
      <c r="H78" s="125"/>
      <c r="I78" s="125"/>
      <c r="J78" s="125"/>
      <c r="K78" s="125"/>
      <c r="L78" s="125"/>
      <c r="M78" s="125"/>
      <c r="N78" s="125"/>
      <c r="O78" s="125"/>
      <c r="P78" s="125"/>
      <c r="Q78" s="125"/>
      <c r="R78" s="125"/>
    </row>
    <row r="79" spans="1:18" ht="15.75" customHeight="1">
      <c r="A79" s="125"/>
      <c r="B79" s="125"/>
      <c r="C79" s="4"/>
      <c r="D79" s="125"/>
      <c r="E79" s="125"/>
      <c r="F79" s="4"/>
      <c r="G79" s="125"/>
      <c r="H79" s="125"/>
      <c r="I79" s="125"/>
      <c r="J79" s="125"/>
      <c r="K79" s="125"/>
      <c r="L79" s="125"/>
      <c r="M79" s="125"/>
      <c r="N79" s="125"/>
      <c r="O79" s="125"/>
      <c r="P79" s="125"/>
      <c r="Q79" s="125"/>
      <c r="R79" s="125"/>
    </row>
    <row r="80" spans="1:18" ht="15.75" customHeight="1">
      <c r="A80" s="125"/>
      <c r="B80" s="125"/>
      <c r="C80" s="4"/>
      <c r="D80" s="125"/>
      <c r="E80" s="125"/>
      <c r="F80" s="4"/>
      <c r="G80" s="125"/>
      <c r="H80" s="125"/>
      <c r="I80" s="125"/>
      <c r="J80" s="125"/>
      <c r="K80" s="125"/>
      <c r="L80" s="125"/>
      <c r="M80" s="125"/>
      <c r="N80" s="125"/>
      <c r="O80" s="125"/>
      <c r="P80" s="125"/>
      <c r="Q80" s="125"/>
      <c r="R80" s="125"/>
    </row>
    <row r="81" spans="1:18" ht="15.75" customHeight="1">
      <c r="A81" s="125"/>
      <c r="B81" s="125"/>
      <c r="C81" s="4"/>
      <c r="D81" s="125"/>
      <c r="E81" s="125"/>
      <c r="F81" s="4"/>
      <c r="G81" s="125"/>
      <c r="H81" s="125"/>
      <c r="I81" s="125"/>
      <c r="J81" s="125"/>
      <c r="K81" s="125"/>
      <c r="L81" s="125"/>
      <c r="M81" s="125"/>
      <c r="N81" s="125"/>
      <c r="O81" s="125"/>
      <c r="P81" s="125"/>
      <c r="Q81" s="125"/>
      <c r="R81" s="125"/>
    </row>
    <row r="82" spans="1:18" ht="15.75" customHeight="1">
      <c r="A82" s="125"/>
      <c r="B82" s="125"/>
      <c r="C82" s="4"/>
      <c r="D82" s="125"/>
      <c r="E82" s="125"/>
      <c r="F82" s="4"/>
      <c r="G82" s="125"/>
      <c r="H82" s="125"/>
      <c r="I82" s="125"/>
      <c r="J82" s="125"/>
      <c r="K82" s="125"/>
      <c r="L82" s="125"/>
      <c r="M82" s="125"/>
      <c r="N82" s="125"/>
      <c r="O82" s="125"/>
      <c r="P82" s="125"/>
      <c r="Q82" s="125"/>
      <c r="R82" s="125"/>
    </row>
    <row r="83" spans="1:18" ht="15.75" customHeight="1">
      <c r="A83" s="125"/>
      <c r="B83" s="125"/>
      <c r="C83" s="4"/>
      <c r="D83" s="125"/>
      <c r="E83" s="125"/>
      <c r="F83" s="4"/>
      <c r="G83" s="125"/>
      <c r="H83" s="125"/>
      <c r="I83" s="125"/>
      <c r="J83" s="125"/>
      <c r="K83" s="125"/>
      <c r="L83" s="125"/>
      <c r="M83" s="125"/>
      <c r="N83" s="125"/>
      <c r="O83" s="125"/>
      <c r="P83" s="125"/>
      <c r="Q83" s="125"/>
      <c r="R83" s="125"/>
    </row>
    <row r="84" spans="1:18" ht="15.75" customHeight="1">
      <c r="A84" s="125"/>
      <c r="B84" s="125"/>
      <c r="C84" s="4"/>
      <c r="D84" s="125"/>
      <c r="E84" s="125"/>
      <c r="F84" s="4"/>
      <c r="G84" s="125"/>
      <c r="H84" s="125"/>
      <c r="I84" s="125"/>
      <c r="J84" s="125"/>
      <c r="K84" s="125"/>
      <c r="L84" s="125"/>
      <c r="M84" s="125"/>
      <c r="N84" s="125"/>
      <c r="O84" s="125"/>
      <c r="P84" s="125"/>
      <c r="Q84" s="125"/>
      <c r="R84" s="125"/>
    </row>
    <row r="85" spans="1:18" ht="15.75" customHeight="1">
      <c r="A85" s="125"/>
      <c r="B85" s="125"/>
      <c r="C85" s="4"/>
      <c r="D85" s="125"/>
      <c r="E85" s="125"/>
      <c r="F85" s="4"/>
      <c r="G85" s="125"/>
      <c r="H85" s="125"/>
      <c r="I85" s="125"/>
      <c r="J85" s="125"/>
      <c r="K85" s="125"/>
      <c r="L85" s="125"/>
      <c r="M85" s="125"/>
      <c r="N85" s="125"/>
      <c r="O85" s="125"/>
      <c r="P85" s="125"/>
      <c r="Q85" s="125"/>
      <c r="R85" s="125"/>
    </row>
    <row r="86" spans="1:18" ht="15.75" customHeight="1">
      <c r="A86" s="125"/>
      <c r="B86" s="125"/>
      <c r="C86" s="4"/>
      <c r="D86" s="125"/>
      <c r="E86" s="125"/>
      <c r="F86" s="4"/>
      <c r="G86" s="125"/>
      <c r="H86" s="125"/>
      <c r="I86" s="125"/>
      <c r="J86" s="125"/>
      <c r="K86" s="125"/>
      <c r="L86" s="125"/>
      <c r="M86" s="125"/>
      <c r="N86" s="125"/>
      <c r="O86" s="125"/>
      <c r="P86" s="125"/>
      <c r="Q86" s="125"/>
      <c r="R86" s="125"/>
    </row>
    <row r="87" spans="1:18" ht="15.75" customHeight="1">
      <c r="A87" s="125"/>
      <c r="B87" s="125"/>
      <c r="C87" s="4"/>
      <c r="D87" s="125"/>
      <c r="E87" s="125"/>
      <c r="F87" s="4"/>
      <c r="G87" s="125"/>
      <c r="H87" s="125"/>
      <c r="I87" s="125"/>
      <c r="J87" s="125"/>
      <c r="K87" s="125"/>
      <c r="L87" s="125"/>
      <c r="M87" s="125"/>
      <c r="N87" s="125"/>
      <c r="O87" s="125"/>
      <c r="P87" s="125"/>
      <c r="Q87" s="125"/>
      <c r="R87" s="125"/>
    </row>
    <row r="88" spans="1:18" ht="15.75" customHeight="1">
      <c r="A88" s="125"/>
      <c r="B88" s="125"/>
      <c r="C88" s="4"/>
      <c r="D88" s="125"/>
      <c r="E88" s="125"/>
      <c r="F88" s="4"/>
      <c r="G88" s="125"/>
      <c r="H88" s="125"/>
      <c r="I88" s="125"/>
      <c r="J88" s="125"/>
      <c r="K88" s="125"/>
      <c r="L88" s="125"/>
      <c r="M88" s="125"/>
      <c r="N88" s="125"/>
      <c r="O88" s="125"/>
      <c r="P88" s="125"/>
      <c r="Q88" s="125"/>
      <c r="R88" s="125"/>
    </row>
    <row r="89" spans="1:18" ht="15.75" customHeight="1">
      <c r="A89" s="125"/>
      <c r="B89" s="125"/>
      <c r="C89" s="4"/>
      <c r="D89" s="125"/>
      <c r="E89" s="125"/>
      <c r="F89" s="4"/>
      <c r="G89" s="125"/>
      <c r="H89" s="125"/>
      <c r="I89" s="125"/>
      <c r="J89" s="125"/>
      <c r="K89" s="125"/>
      <c r="L89" s="125"/>
      <c r="M89" s="125"/>
      <c r="N89" s="125"/>
      <c r="O89" s="125"/>
      <c r="P89" s="125"/>
      <c r="Q89" s="125"/>
      <c r="R89" s="125"/>
    </row>
    <row r="90" spans="1:18" ht="15.75" customHeight="1">
      <c r="A90" s="125"/>
      <c r="B90" s="125"/>
      <c r="C90" s="4"/>
      <c r="D90" s="125"/>
      <c r="E90" s="125"/>
      <c r="F90" s="4"/>
      <c r="G90" s="125"/>
      <c r="H90" s="125"/>
      <c r="I90" s="125"/>
      <c r="J90" s="125"/>
      <c r="K90" s="125"/>
      <c r="L90" s="125"/>
      <c r="M90" s="125"/>
      <c r="N90" s="125"/>
      <c r="O90" s="125"/>
      <c r="P90" s="125"/>
      <c r="Q90" s="125"/>
      <c r="R90" s="125"/>
    </row>
    <row r="91" spans="1:18" ht="15.75" customHeight="1">
      <c r="A91" s="125"/>
      <c r="B91" s="125"/>
      <c r="C91" s="4"/>
      <c r="D91" s="125"/>
      <c r="E91" s="125"/>
      <c r="F91" s="4"/>
      <c r="G91" s="125"/>
      <c r="H91" s="125"/>
      <c r="I91" s="125"/>
      <c r="J91" s="125"/>
      <c r="K91" s="125"/>
      <c r="L91" s="125"/>
      <c r="M91" s="125"/>
      <c r="N91" s="125"/>
      <c r="O91" s="125"/>
      <c r="P91" s="125"/>
      <c r="Q91" s="125"/>
      <c r="R91" s="125"/>
    </row>
    <row r="92" spans="1:18" ht="15.75" customHeight="1">
      <c r="A92" s="125"/>
      <c r="B92" s="125"/>
      <c r="C92" s="4"/>
      <c r="D92" s="125"/>
      <c r="E92" s="125"/>
      <c r="F92" s="4"/>
      <c r="G92" s="125"/>
      <c r="H92" s="125"/>
      <c r="I92" s="125"/>
      <c r="J92" s="125"/>
      <c r="K92" s="125"/>
      <c r="L92" s="125"/>
      <c r="M92" s="125"/>
      <c r="N92" s="125"/>
      <c r="O92" s="125"/>
      <c r="P92" s="125"/>
      <c r="Q92" s="125"/>
      <c r="R92" s="125"/>
    </row>
    <row r="93" spans="1:18" ht="15.75" customHeight="1">
      <c r="A93" s="125"/>
      <c r="B93" s="125"/>
      <c r="C93" s="4"/>
      <c r="D93" s="125"/>
      <c r="E93" s="125"/>
      <c r="F93" s="4"/>
      <c r="G93" s="125"/>
      <c r="H93" s="125"/>
      <c r="I93" s="125"/>
      <c r="J93" s="125"/>
      <c r="K93" s="125"/>
      <c r="L93" s="125"/>
      <c r="M93" s="125"/>
      <c r="N93" s="125"/>
      <c r="O93" s="125"/>
      <c r="P93" s="125"/>
      <c r="Q93" s="125"/>
      <c r="R93" s="125"/>
    </row>
    <row r="94" spans="1:18" ht="15.75" customHeight="1">
      <c r="A94" s="125"/>
      <c r="B94" s="125"/>
      <c r="C94" s="4"/>
      <c r="D94" s="125"/>
      <c r="E94" s="125"/>
      <c r="F94" s="4"/>
      <c r="G94" s="125"/>
      <c r="H94" s="125"/>
      <c r="I94" s="125"/>
      <c r="J94" s="125"/>
      <c r="K94" s="125"/>
      <c r="L94" s="125"/>
      <c r="M94" s="125"/>
      <c r="N94" s="125"/>
      <c r="O94" s="125"/>
      <c r="P94" s="125"/>
      <c r="Q94" s="125"/>
      <c r="R94" s="125"/>
    </row>
    <row r="95" spans="1:18" ht="15.75" customHeight="1">
      <c r="A95" s="125"/>
      <c r="B95" s="125"/>
      <c r="C95" s="4"/>
      <c r="D95" s="125"/>
      <c r="E95" s="125"/>
      <c r="F95" s="4"/>
      <c r="G95" s="125"/>
      <c r="H95" s="125"/>
      <c r="I95" s="125"/>
      <c r="J95" s="125"/>
      <c r="K95" s="125"/>
      <c r="L95" s="125"/>
      <c r="M95" s="125"/>
      <c r="N95" s="125"/>
      <c r="O95" s="125"/>
      <c r="P95" s="125"/>
      <c r="Q95" s="125"/>
      <c r="R95" s="125"/>
    </row>
    <row r="96" spans="1:18" ht="15.75" customHeight="1">
      <c r="A96" s="125"/>
      <c r="B96" s="125"/>
      <c r="C96" s="4"/>
      <c r="D96" s="125"/>
      <c r="E96" s="125"/>
      <c r="F96" s="4"/>
      <c r="G96" s="125"/>
      <c r="H96" s="125"/>
      <c r="I96" s="125"/>
      <c r="J96" s="125"/>
      <c r="K96" s="125"/>
      <c r="L96" s="125"/>
      <c r="M96" s="125"/>
      <c r="N96" s="125"/>
      <c r="O96" s="125"/>
      <c r="P96" s="125"/>
      <c r="Q96" s="125"/>
      <c r="R96" s="125"/>
    </row>
    <row r="97" spans="1:18" ht="15.75" customHeight="1">
      <c r="A97" s="125"/>
      <c r="B97" s="125"/>
      <c r="C97" s="4"/>
      <c r="D97" s="125"/>
      <c r="E97" s="125"/>
      <c r="F97" s="4"/>
      <c r="G97" s="125"/>
      <c r="H97" s="125"/>
      <c r="I97" s="125"/>
      <c r="J97" s="125"/>
      <c r="K97" s="125"/>
      <c r="L97" s="125"/>
      <c r="M97" s="125"/>
      <c r="N97" s="125"/>
      <c r="O97" s="125"/>
      <c r="P97" s="125"/>
      <c r="Q97" s="125"/>
      <c r="R97" s="125"/>
    </row>
    <row r="98" spans="1:18" ht="15.75" customHeight="1">
      <c r="A98" s="125"/>
      <c r="B98" s="125"/>
      <c r="C98" s="4"/>
      <c r="D98" s="125"/>
      <c r="E98" s="125"/>
      <c r="F98" s="4"/>
      <c r="G98" s="125"/>
      <c r="H98" s="125"/>
      <c r="I98" s="125"/>
      <c r="J98" s="125"/>
      <c r="K98" s="125"/>
      <c r="L98" s="125"/>
      <c r="M98" s="125"/>
      <c r="N98" s="125"/>
      <c r="O98" s="125"/>
      <c r="P98" s="125"/>
      <c r="Q98" s="125"/>
      <c r="R98" s="125"/>
    </row>
    <row r="99" spans="1:18" ht="15.75" customHeight="1">
      <c r="A99" s="125"/>
      <c r="B99" s="125"/>
      <c r="C99" s="4"/>
      <c r="D99" s="125"/>
      <c r="E99" s="125"/>
      <c r="F99" s="4"/>
      <c r="G99" s="125"/>
      <c r="H99" s="125"/>
      <c r="I99" s="125"/>
      <c r="J99" s="125"/>
      <c r="K99" s="125"/>
      <c r="L99" s="125"/>
      <c r="M99" s="125"/>
      <c r="N99" s="125"/>
      <c r="O99" s="125"/>
      <c r="P99" s="125"/>
      <c r="Q99" s="125"/>
      <c r="R99" s="125"/>
    </row>
    <row r="100" spans="1:18" ht="15.75" customHeight="1">
      <c r="A100" s="125"/>
      <c r="B100" s="125"/>
      <c r="C100" s="4"/>
      <c r="D100" s="125"/>
      <c r="E100" s="125"/>
      <c r="F100" s="4"/>
      <c r="G100" s="125"/>
      <c r="H100" s="125"/>
      <c r="I100" s="125"/>
      <c r="J100" s="125"/>
      <c r="K100" s="125"/>
      <c r="L100" s="125"/>
      <c r="M100" s="125"/>
      <c r="N100" s="125"/>
      <c r="O100" s="125"/>
      <c r="P100" s="125"/>
      <c r="Q100" s="125"/>
      <c r="R100" s="125"/>
    </row>
    <row r="101" spans="1:18" ht="15.75" customHeight="1">
      <c r="A101" s="125"/>
      <c r="B101" s="125"/>
      <c r="C101" s="4"/>
      <c r="D101" s="125"/>
      <c r="E101" s="125"/>
      <c r="F101" s="4"/>
      <c r="G101" s="125"/>
      <c r="H101" s="125"/>
      <c r="I101" s="125"/>
      <c r="J101" s="125"/>
      <c r="K101" s="125"/>
      <c r="L101" s="125"/>
      <c r="M101" s="125"/>
      <c r="N101" s="125"/>
      <c r="O101" s="125"/>
      <c r="P101" s="125"/>
      <c r="Q101" s="125"/>
      <c r="R101" s="125"/>
    </row>
    <row r="102" spans="1:18" ht="15.75" customHeight="1">
      <c r="A102" s="125"/>
      <c r="B102" s="125"/>
      <c r="C102" s="4"/>
      <c r="D102" s="125"/>
      <c r="E102" s="125"/>
      <c r="F102" s="4"/>
      <c r="G102" s="125"/>
      <c r="H102" s="125"/>
      <c r="I102" s="125"/>
      <c r="J102" s="125"/>
      <c r="K102" s="125"/>
      <c r="L102" s="125"/>
      <c r="M102" s="125"/>
      <c r="N102" s="125"/>
      <c r="O102" s="125"/>
      <c r="P102" s="125"/>
      <c r="Q102" s="125"/>
      <c r="R102" s="125"/>
    </row>
    <row r="103" spans="1:18" ht="15.75" customHeight="1">
      <c r="A103" s="125"/>
      <c r="B103" s="125"/>
      <c r="C103" s="4"/>
      <c r="D103" s="125"/>
      <c r="E103" s="125"/>
      <c r="F103" s="4"/>
      <c r="G103" s="125"/>
      <c r="H103" s="125"/>
      <c r="I103" s="125"/>
      <c r="J103" s="125"/>
      <c r="K103" s="125"/>
      <c r="L103" s="125"/>
      <c r="M103" s="125"/>
      <c r="N103" s="125"/>
      <c r="O103" s="125"/>
      <c r="P103" s="125"/>
      <c r="Q103" s="125"/>
      <c r="R103" s="125"/>
    </row>
    <row r="104" spans="1:18" ht="15.75" customHeight="1">
      <c r="A104" s="125"/>
      <c r="B104" s="125"/>
      <c r="C104" s="4"/>
      <c r="D104" s="125"/>
      <c r="E104" s="125"/>
      <c r="F104" s="4"/>
      <c r="G104" s="125"/>
      <c r="H104" s="125"/>
      <c r="I104" s="125"/>
      <c r="J104" s="125"/>
      <c r="K104" s="125"/>
      <c r="L104" s="125"/>
      <c r="M104" s="125"/>
      <c r="N104" s="125"/>
      <c r="O104" s="125"/>
      <c r="P104" s="125"/>
      <c r="Q104" s="125"/>
      <c r="R104" s="125"/>
    </row>
    <row r="105" spans="1:18" ht="15.75" customHeight="1">
      <c r="A105" s="125"/>
      <c r="B105" s="125"/>
      <c r="C105" s="4"/>
      <c r="D105" s="125"/>
      <c r="E105" s="125"/>
      <c r="F105" s="4"/>
      <c r="G105" s="125"/>
      <c r="H105" s="125"/>
      <c r="I105" s="125"/>
      <c r="J105" s="125"/>
      <c r="K105" s="125"/>
      <c r="L105" s="125"/>
      <c r="M105" s="125"/>
      <c r="N105" s="125"/>
      <c r="O105" s="125"/>
      <c r="P105" s="125"/>
      <c r="Q105" s="125"/>
      <c r="R105" s="125"/>
    </row>
    <row r="106" spans="1:18" ht="15.75" customHeight="1">
      <c r="A106" s="125"/>
      <c r="B106" s="125"/>
      <c r="C106" s="4"/>
      <c r="D106" s="125"/>
      <c r="E106" s="125"/>
      <c r="F106" s="4"/>
      <c r="G106" s="125"/>
      <c r="H106" s="125"/>
      <c r="I106" s="125"/>
      <c r="J106" s="125"/>
      <c r="K106" s="125"/>
      <c r="L106" s="125"/>
      <c r="M106" s="125"/>
      <c r="N106" s="125"/>
      <c r="O106" s="125"/>
      <c r="P106" s="125"/>
      <c r="Q106" s="125"/>
      <c r="R106" s="125"/>
    </row>
    <row r="107" spans="1:18" ht="15.75" customHeight="1">
      <c r="A107" s="125"/>
      <c r="B107" s="125"/>
      <c r="C107" s="4"/>
      <c r="D107" s="125"/>
      <c r="E107" s="125"/>
      <c r="F107" s="4"/>
      <c r="G107" s="125"/>
      <c r="H107" s="125"/>
      <c r="I107" s="125"/>
      <c r="J107" s="125"/>
      <c r="K107" s="125"/>
      <c r="L107" s="125"/>
      <c r="M107" s="125"/>
      <c r="N107" s="125"/>
      <c r="O107" s="125"/>
      <c r="P107" s="125"/>
      <c r="Q107" s="125"/>
      <c r="R107" s="125"/>
    </row>
    <row r="108" spans="1:18" ht="15.75" customHeight="1">
      <c r="A108" s="125"/>
      <c r="B108" s="125"/>
      <c r="C108" s="4"/>
      <c r="D108" s="125"/>
      <c r="E108" s="125"/>
      <c r="F108" s="4"/>
      <c r="G108" s="125"/>
      <c r="H108" s="125"/>
      <c r="I108" s="125"/>
      <c r="J108" s="125"/>
      <c r="K108" s="125"/>
      <c r="L108" s="125"/>
      <c r="M108" s="125"/>
      <c r="N108" s="125"/>
      <c r="O108" s="125"/>
      <c r="P108" s="125"/>
      <c r="Q108" s="125"/>
      <c r="R108" s="125"/>
    </row>
    <row r="109" spans="1:18" ht="15.75" customHeight="1">
      <c r="A109" s="125"/>
      <c r="B109" s="125"/>
      <c r="C109" s="4"/>
      <c r="D109" s="125"/>
      <c r="E109" s="125"/>
      <c r="F109" s="4"/>
      <c r="G109" s="125"/>
      <c r="H109" s="125"/>
      <c r="I109" s="125"/>
      <c r="J109" s="125"/>
      <c r="K109" s="125"/>
      <c r="L109" s="125"/>
      <c r="M109" s="125"/>
      <c r="N109" s="125"/>
      <c r="O109" s="125"/>
      <c r="P109" s="125"/>
      <c r="Q109" s="125"/>
      <c r="R109" s="125"/>
    </row>
    <row r="110" spans="1:18" ht="15.75" customHeight="1">
      <c r="A110" s="125"/>
      <c r="B110" s="125"/>
      <c r="C110" s="4"/>
      <c r="D110" s="125"/>
      <c r="E110" s="125"/>
      <c r="F110" s="4"/>
      <c r="G110" s="125"/>
      <c r="H110" s="125"/>
      <c r="I110" s="125"/>
      <c r="J110" s="125"/>
      <c r="K110" s="125"/>
      <c r="L110" s="125"/>
      <c r="M110" s="125"/>
      <c r="N110" s="125"/>
      <c r="O110" s="125"/>
      <c r="P110" s="125"/>
      <c r="Q110" s="125"/>
      <c r="R110" s="125"/>
    </row>
    <row r="111" spans="1:18" ht="15.75" customHeight="1">
      <c r="A111" s="125"/>
      <c r="B111" s="125"/>
      <c r="C111" s="4"/>
      <c r="D111" s="125"/>
      <c r="E111" s="125"/>
      <c r="F111" s="4"/>
      <c r="G111" s="125"/>
      <c r="H111" s="125"/>
      <c r="I111" s="125"/>
      <c r="J111" s="125"/>
      <c r="K111" s="125"/>
      <c r="L111" s="125"/>
      <c r="M111" s="125"/>
      <c r="N111" s="125"/>
      <c r="O111" s="125"/>
      <c r="P111" s="125"/>
      <c r="Q111" s="125"/>
      <c r="R111" s="125"/>
    </row>
    <row r="112" spans="1:18" ht="15.75" customHeight="1">
      <c r="A112" s="125"/>
      <c r="B112" s="125"/>
      <c r="C112" s="4"/>
      <c r="D112" s="125"/>
      <c r="E112" s="125"/>
      <c r="F112" s="4"/>
      <c r="G112" s="125"/>
      <c r="H112" s="125"/>
      <c r="I112" s="125"/>
      <c r="J112" s="125"/>
      <c r="K112" s="125"/>
      <c r="L112" s="125"/>
      <c r="M112" s="125"/>
      <c r="N112" s="125"/>
      <c r="O112" s="125"/>
      <c r="P112" s="125"/>
      <c r="Q112" s="125"/>
      <c r="R112" s="125"/>
    </row>
    <row r="113" spans="1:18" ht="15.75" customHeight="1">
      <c r="A113" s="125"/>
      <c r="B113" s="125"/>
      <c r="C113" s="4"/>
      <c r="D113" s="125"/>
      <c r="E113" s="125"/>
      <c r="F113" s="4"/>
      <c r="G113" s="125"/>
      <c r="H113" s="125"/>
      <c r="I113" s="125"/>
      <c r="J113" s="125"/>
      <c r="K113" s="125"/>
      <c r="L113" s="125"/>
      <c r="M113" s="125"/>
      <c r="N113" s="125"/>
      <c r="O113" s="125"/>
      <c r="P113" s="125"/>
      <c r="Q113" s="125"/>
      <c r="R113" s="125"/>
    </row>
    <row r="114" spans="1:18" ht="15.75" customHeight="1">
      <c r="A114" s="125"/>
      <c r="B114" s="125"/>
      <c r="C114" s="4"/>
      <c r="D114" s="125"/>
      <c r="E114" s="125"/>
      <c r="F114" s="4"/>
      <c r="G114" s="125"/>
      <c r="H114" s="125"/>
      <c r="I114" s="125"/>
      <c r="J114" s="125"/>
      <c r="K114" s="125"/>
      <c r="L114" s="125"/>
      <c r="M114" s="125"/>
      <c r="N114" s="125"/>
      <c r="O114" s="125"/>
      <c r="P114" s="125"/>
      <c r="Q114" s="125"/>
      <c r="R114" s="125"/>
    </row>
    <row r="115" spans="1:18" ht="15.75" customHeight="1">
      <c r="A115" s="125"/>
      <c r="B115" s="125"/>
      <c r="C115" s="4"/>
      <c r="D115" s="125"/>
      <c r="E115" s="125"/>
      <c r="F115" s="4"/>
      <c r="G115" s="125"/>
      <c r="H115" s="125"/>
      <c r="I115" s="125"/>
      <c r="J115" s="125"/>
      <c r="K115" s="125"/>
      <c r="L115" s="125"/>
      <c r="M115" s="125"/>
      <c r="N115" s="125"/>
      <c r="O115" s="125"/>
      <c r="P115" s="125"/>
      <c r="Q115" s="125"/>
      <c r="R115" s="125"/>
    </row>
    <row r="116" spans="1:18" ht="15.75" customHeight="1">
      <c r="A116" s="125"/>
      <c r="B116" s="125"/>
      <c r="C116" s="4"/>
      <c r="D116" s="125"/>
      <c r="E116" s="125"/>
      <c r="F116" s="4"/>
      <c r="G116" s="125"/>
      <c r="H116" s="125"/>
      <c r="I116" s="125"/>
      <c r="J116" s="125"/>
      <c r="K116" s="125"/>
      <c r="L116" s="125"/>
      <c r="M116" s="125"/>
      <c r="N116" s="125"/>
      <c r="O116" s="125"/>
      <c r="P116" s="125"/>
      <c r="Q116" s="125"/>
      <c r="R116" s="125"/>
    </row>
    <row r="117" spans="1:18" ht="15.75" customHeight="1">
      <c r="A117" s="125"/>
      <c r="B117" s="125"/>
      <c r="C117" s="4"/>
      <c r="D117" s="125"/>
      <c r="E117" s="125"/>
      <c r="F117" s="4"/>
      <c r="G117" s="125"/>
      <c r="H117" s="125"/>
      <c r="I117" s="125"/>
      <c r="J117" s="125"/>
      <c r="K117" s="125"/>
      <c r="L117" s="125"/>
      <c r="M117" s="125"/>
      <c r="N117" s="125"/>
      <c r="O117" s="125"/>
      <c r="P117" s="125"/>
      <c r="Q117" s="125"/>
      <c r="R117" s="125"/>
    </row>
    <row r="118" spans="1:18" ht="15.75" customHeight="1">
      <c r="A118" s="125"/>
      <c r="B118" s="125"/>
      <c r="C118" s="4"/>
      <c r="D118" s="125"/>
      <c r="E118" s="125"/>
      <c r="F118" s="4"/>
      <c r="G118" s="125"/>
      <c r="H118" s="125"/>
      <c r="I118" s="125"/>
      <c r="J118" s="125"/>
      <c r="K118" s="125"/>
      <c r="L118" s="125"/>
      <c r="M118" s="125"/>
      <c r="N118" s="125"/>
      <c r="O118" s="125"/>
      <c r="P118" s="125"/>
      <c r="Q118" s="125"/>
      <c r="R118" s="125"/>
    </row>
    <row r="119" spans="1:18" ht="15.75" customHeight="1">
      <c r="A119" s="125"/>
      <c r="B119" s="125"/>
      <c r="C119" s="4"/>
      <c r="D119" s="125"/>
      <c r="E119" s="125"/>
      <c r="F119" s="4"/>
      <c r="G119" s="125"/>
      <c r="H119" s="125"/>
      <c r="I119" s="125"/>
      <c r="J119" s="125"/>
      <c r="K119" s="125"/>
      <c r="L119" s="125"/>
      <c r="M119" s="125"/>
      <c r="N119" s="125"/>
      <c r="O119" s="125"/>
      <c r="P119" s="125"/>
      <c r="Q119" s="125"/>
      <c r="R119" s="125"/>
    </row>
    <row r="120" spans="1:18" ht="15.75" customHeight="1">
      <c r="A120" s="125"/>
      <c r="B120" s="125"/>
      <c r="C120" s="4"/>
      <c r="D120" s="125"/>
      <c r="E120" s="125"/>
      <c r="F120" s="4"/>
      <c r="G120" s="125"/>
      <c r="H120" s="125"/>
      <c r="I120" s="125"/>
      <c r="J120" s="125"/>
      <c r="K120" s="125"/>
      <c r="L120" s="125"/>
      <c r="M120" s="125"/>
      <c r="N120" s="125"/>
      <c r="O120" s="125"/>
      <c r="P120" s="125"/>
      <c r="Q120" s="125"/>
      <c r="R120" s="125"/>
    </row>
    <row r="121" spans="1:18" ht="15.75" customHeight="1">
      <c r="A121" s="125"/>
      <c r="B121" s="125"/>
      <c r="C121" s="4"/>
      <c r="D121" s="125"/>
      <c r="E121" s="125"/>
      <c r="F121" s="4"/>
      <c r="G121" s="125"/>
      <c r="H121" s="125"/>
      <c r="I121" s="125"/>
      <c r="J121" s="125"/>
      <c r="K121" s="125"/>
      <c r="L121" s="125"/>
      <c r="M121" s="125"/>
      <c r="N121" s="125"/>
      <c r="O121" s="125"/>
      <c r="P121" s="125"/>
      <c r="Q121" s="125"/>
      <c r="R121" s="125"/>
    </row>
    <row r="122" spans="1:18" ht="15.75" customHeight="1">
      <c r="A122" s="125"/>
      <c r="B122" s="125"/>
      <c r="C122" s="4"/>
      <c r="D122" s="125"/>
      <c r="E122" s="125"/>
      <c r="F122" s="4"/>
      <c r="G122" s="125"/>
      <c r="H122" s="125"/>
      <c r="I122" s="125"/>
      <c r="J122" s="125"/>
      <c r="K122" s="125"/>
      <c r="L122" s="125"/>
      <c r="M122" s="125"/>
      <c r="N122" s="125"/>
      <c r="O122" s="125"/>
      <c r="P122" s="125"/>
      <c r="Q122" s="125"/>
      <c r="R122" s="125"/>
    </row>
    <row r="123" spans="1:18" ht="15.75" customHeight="1">
      <c r="A123" s="125"/>
      <c r="B123" s="125"/>
      <c r="C123" s="4"/>
      <c r="D123" s="125"/>
      <c r="E123" s="125"/>
      <c r="F123" s="4"/>
      <c r="G123" s="125"/>
      <c r="H123" s="125"/>
      <c r="I123" s="125"/>
      <c r="J123" s="125"/>
      <c r="K123" s="125"/>
      <c r="L123" s="125"/>
      <c r="M123" s="125"/>
      <c r="N123" s="125"/>
      <c r="O123" s="125"/>
      <c r="P123" s="125"/>
      <c r="Q123" s="125"/>
      <c r="R123" s="125"/>
    </row>
    <row r="124" spans="1:18" ht="15.75" customHeight="1">
      <c r="A124" s="125"/>
      <c r="B124" s="125"/>
      <c r="C124" s="4"/>
      <c r="D124" s="125"/>
      <c r="E124" s="125"/>
      <c r="F124" s="4"/>
      <c r="G124" s="125"/>
      <c r="H124" s="125"/>
      <c r="I124" s="125"/>
      <c r="J124" s="125"/>
      <c r="K124" s="125"/>
      <c r="L124" s="125"/>
      <c r="M124" s="125"/>
      <c r="N124" s="125"/>
      <c r="O124" s="125"/>
      <c r="P124" s="125"/>
      <c r="Q124" s="125"/>
      <c r="R124" s="125"/>
    </row>
    <row r="125" spans="1:18" ht="15.75" customHeight="1">
      <c r="A125" s="125"/>
      <c r="B125" s="125"/>
      <c r="C125" s="4"/>
      <c r="D125" s="125"/>
      <c r="E125" s="125"/>
      <c r="F125" s="4"/>
      <c r="G125" s="125"/>
      <c r="H125" s="125"/>
      <c r="I125" s="125"/>
      <c r="J125" s="125"/>
      <c r="K125" s="125"/>
      <c r="L125" s="125"/>
      <c r="M125" s="125"/>
      <c r="N125" s="125"/>
      <c r="O125" s="125"/>
      <c r="P125" s="125"/>
      <c r="Q125" s="125"/>
      <c r="R125" s="125"/>
    </row>
    <row r="126" spans="1:18" ht="15.75" customHeight="1">
      <c r="A126" s="125"/>
      <c r="B126" s="125"/>
      <c r="C126" s="4"/>
      <c r="D126" s="125"/>
      <c r="E126" s="125"/>
      <c r="F126" s="4"/>
      <c r="G126" s="125"/>
      <c r="H126" s="125"/>
      <c r="I126" s="125"/>
      <c r="J126" s="125"/>
      <c r="K126" s="125"/>
      <c r="L126" s="125"/>
      <c r="M126" s="125"/>
      <c r="N126" s="125"/>
      <c r="O126" s="125"/>
      <c r="P126" s="125"/>
      <c r="Q126" s="125"/>
      <c r="R126" s="125"/>
    </row>
    <row r="127" spans="1:18" ht="15.75" customHeight="1">
      <c r="A127" s="125"/>
      <c r="B127" s="125"/>
      <c r="C127" s="4"/>
      <c r="D127" s="125"/>
      <c r="E127" s="125"/>
      <c r="F127" s="4"/>
      <c r="G127" s="125"/>
      <c r="H127" s="125"/>
      <c r="I127" s="125"/>
      <c r="J127" s="125"/>
      <c r="K127" s="125"/>
      <c r="L127" s="125"/>
      <c r="M127" s="125"/>
      <c r="N127" s="125"/>
      <c r="O127" s="125"/>
      <c r="P127" s="125"/>
      <c r="Q127" s="125"/>
      <c r="R127" s="125"/>
    </row>
    <row r="128" spans="1:18" ht="15.75" customHeight="1">
      <c r="A128" s="125"/>
      <c r="B128" s="125"/>
      <c r="C128" s="4"/>
      <c r="D128" s="125"/>
      <c r="E128" s="125"/>
      <c r="F128" s="4"/>
      <c r="G128" s="125"/>
      <c r="H128" s="125"/>
      <c r="I128" s="125"/>
      <c r="J128" s="125"/>
      <c r="K128" s="125"/>
      <c r="L128" s="125"/>
      <c r="M128" s="125"/>
      <c r="N128" s="125"/>
      <c r="O128" s="125"/>
      <c r="P128" s="125"/>
      <c r="Q128" s="125"/>
      <c r="R128" s="125"/>
    </row>
    <row r="129" spans="1:18" ht="15.75" customHeight="1">
      <c r="A129" s="125"/>
      <c r="B129" s="125"/>
      <c r="C129" s="4"/>
      <c r="D129" s="125"/>
      <c r="E129" s="125"/>
      <c r="F129" s="4"/>
      <c r="G129" s="125"/>
      <c r="H129" s="125"/>
      <c r="I129" s="125"/>
      <c r="J129" s="125"/>
      <c r="K129" s="125"/>
      <c r="L129" s="125"/>
      <c r="M129" s="125"/>
      <c r="N129" s="125"/>
      <c r="O129" s="125"/>
      <c r="P129" s="125"/>
      <c r="Q129" s="125"/>
      <c r="R129" s="125"/>
    </row>
    <row r="130" spans="1:18" ht="15.75" customHeight="1">
      <c r="A130" s="125"/>
      <c r="B130" s="125"/>
      <c r="C130" s="4"/>
      <c r="D130" s="125"/>
      <c r="E130" s="125"/>
      <c r="F130" s="4"/>
      <c r="G130" s="125"/>
      <c r="H130" s="125"/>
      <c r="I130" s="125"/>
      <c r="J130" s="125"/>
      <c r="K130" s="125"/>
      <c r="L130" s="125"/>
      <c r="M130" s="125"/>
      <c r="N130" s="125"/>
      <c r="O130" s="125"/>
      <c r="P130" s="125"/>
      <c r="Q130" s="125"/>
      <c r="R130" s="125"/>
    </row>
    <row r="131" spans="1:18" ht="15.75" customHeight="1">
      <c r="A131" s="125"/>
      <c r="B131" s="125"/>
      <c r="C131" s="4"/>
      <c r="D131" s="125"/>
      <c r="E131" s="125"/>
      <c r="F131" s="4"/>
      <c r="G131" s="125"/>
      <c r="H131" s="125"/>
      <c r="I131" s="125"/>
      <c r="J131" s="125"/>
      <c r="K131" s="125"/>
      <c r="L131" s="125"/>
      <c r="M131" s="125"/>
      <c r="N131" s="125"/>
      <c r="O131" s="125"/>
      <c r="P131" s="125"/>
      <c r="Q131" s="125"/>
      <c r="R131" s="125"/>
    </row>
    <row r="132" spans="1:18" ht="15.75" customHeight="1">
      <c r="A132" s="125"/>
      <c r="B132" s="125"/>
      <c r="C132" s="4"/>
      <c r="D132" s="125"/>
      <c r="E132" s="125"/>
      <c r="F132" s="4"/>
      <c r="G132" s="125"/>
      <c r="H132" s="125"/>
      <c r="I132" s="125"/>
      <c r="J132" s="125"/>
      <c r="K132" s="125"/>
      <c r="L132" s="125"/>
      <c r="M132" s="125"/>
      <c r="N132" s="125"/>
      <c r="O132" s="125"/>
      <c r="P132" s="125"/>
      <c r="Q132" s="125"/>
      <c r="R132" s="125"/>
    </row>
    <row r="133" spans="1:18" ht="15.75" customHeight="1">
      <c r="A133" s="125"/>
      <c r="B133" s="125"/>
      <c r="C133" s="4"/>
      <c r="D133" s="125"/>
      <c r="E133" s="125"/>
      <c r="F133" s="4"/>
      <c r="G133" s="125"/>
      <c r="H133" s="125"/>
      <c r="I133" s="125"/>
      <c r="J133" s="125"/>
      <c r="K133" s="125"/>
      <c r="L133" s="125"/>
      <c r="M133" s="125"/>
      <c r="N133" s="125"/>
      <c r="O133" s="125"/>
      <c r="P133" s="125"/>
      <c r="Q133" s="125"/>
      <c r="R133" s="125"/>
    </row>
    <row r="134" spans="1:18" ht="15.75" customHeight="1">
      <c r="A134" s="125"/>
      <c r="B134" s="125"/>
      <c r="C134" s="4"/>
      <c r="D134" s="125"/>
      <c r="E134" s="125"/>
      <c r="F134" s="4"/>
      <c r="G134" s="125"/>
      <c r="H134" s="125"/>
      <c r="I134" s="125"/>
      <c r="J134" s="125"/>
      <c r="K134" s="125"/>
      <c r="L134" s="125"/>
      <c r="M134" s="125"/>
      <c r="N134" s="125"/>
      <c r="O134" s="125"/>
      <c r="P134" s="125"/>
      <c r="Q134" s="125"/>
      <c r="R134" s="125"/>
    </row>
    <row r="135" spans="1:18" ht="15.75" customHeight="1">
      <c r="A135" s="125"/>
      <c r="B135" s="125"/>
      <c r="C135" s="4"/>
      <c r="D135" s="125"/>
      <c r="E135" s="125"/>
      <c r="F135" s="4"/>
      <c r="G135" s="125"/>
      <c r="H135" s="125"/>
      <c r="I135" s="125"/>
      <c r="J135" s="125"/>
      <c r="K135" s="125"/>
      <c r="L135" s="125"/>
      <c r="M135" s="125"/>
      <c r="N135" s="125"/>
      <c r="O135" s="125"/>
      <c r="P135" s="125"/>
      <c r="Q135" s="125"/>
      <c r="R135" s="125"/>
    </row>
    <row r="136" spans="1:18" ht="15.75" customHeight="1">
      <c r="A136" s="125"/>
      <c r="B136" s="125"/>
      <c r="C136" s="4"/>
      <c r="D136" s="125"/>
      <c r="E136" s="125"/>
      <c r="F136" s="4"/>
      <c r="G136" s="125"/>
      <c r="H136" s="125"/>
      <c r="I136" s="125"/>
      <c r="J136" s="125"/>
      <c r="K136" s="125"/>
      <c r="L136" s="125"/>
      <c r="M136" s="125"/>
      <c r="N136" s="125"/>
      <c r="O136" s="125"/>
      <c r="P136" s="125"/>
      <c r="Q136" s="125"/>
      <c r="R136" s="125"/>
    </row>
    <row r="137" spans="1:18" ht="15.75" customHeight="1">
      <c r="A137" s="125"/>
      <c r="B137" s="125"/>
      <c r="C137" s="4"/>
      <c r="D137" s="125"/>
      <c r="E137" s="125"/>
      <c r="F137" s="4"/>
      <c r="G137" s="125"/>
      <c r="H137" s="125"/>
      <c r="I137" s="125"/>
      <c r="J137" s="125"/>
      <c r="K137" s="125"/>
      <c r="L137" s="125"/>
      <c r="M137" s="125"/>
      <c r="N137" s="125"/>
      <c r="O137" s="125"/>
      <c r="P137" s="125"/>
      <c r="Q137" s="125"/>
      <c r="R137" s="125"/>
    </row>
    <row r="138" spans="1:18" ht="15.75" customHeight="1">
      <c r="A138" s="125"/>
      <c r="B138" s="125"/>
      <c r="C138" s="4"/>
      <c r="D138" s="125"/>
      <c r="E138" s="125"/>
      <c r="F138" s="4"/>
      <c r="G138" s="125"/>
      <c r="H138" s="125"/>
      <c r="I138" s="125"/>
      <c r="J138" s="125"/>
      <c r="K138" s="125"/>
      <c r="L138" s="125"/>
      <c r="M138" s="125"/>
      <c r="N138" s="125"/>
      <c r="O138" s="125"/>
      <c r="P138" s="125"/>
      <c r="Q138" s="125"/>
      <c r="R138" s="125"/>
    </row>
    <row r="139" spans="1:18" ht="15.75" customHeight="1">
      <c r="A139" s="125"/>
      <c r="B139" s="125"/>
      <c r="C139" s="4"/>
      <c r="D139" s="125"/>
      <c r="E139" s="125"/>
      <c r="F139" s="4"/>
      <c r="G139" s="125"/>
      <c r="H139" s="125"/>
      <c r="I139" s="125"/>
      <c r="J139" s="125"/>
      <c r="K139" s="125"/>
      <c r="L139" s="125"/>
      <c r="M139" s="125"/>
      <c r="N139" s="125"/>
      <c r="O139" s="125"/>
      <c r="P139" s="125"/>
      <c r="Q139" s="125"/>
      <c r="R139" s="125"/>
    </row>
    <row r="140" spans="1:18" ht="15.75" customHeight="1">
      <c r="A140" s="125"/>
      <c r="B140" s="125"/>
      <c r="C140" s="4"/>
      <c r="D140" s="125"/>
      <c r="E140" s="125"/>
      <c r="F140" s="4"/>
      <c r="G140" s="125"/>
      <c r="H140" s="125"/>
      <c r="I140" s="125"/>
      <c r="J140" s="125"/>
      <c r="K140" s="125"/>
      <c r="L140" s="125"/>
      <c r="M140" s="125"/>
      <c r="N140" s="125"/>
      <c r="O140" s="125"/>
      <c r="P140" s="125"/>
      <c r="Q140" s="125"/>
      <c r="R140" s="125"/>
    </row>
    <row r="141" spans="1:18" ht="15.75" customHeight="1">
      <c r="A141" s="125"/>
      <c r="B141" s="125"/>
      <c r="C141" s="4"/>
      <c r="D141" s="125"/>
      <c r="E141" s="125"/>
      <c r="F141" s="4"/>
      <c r="G141" s="125"/>
      <c r="H141" s="125"/>
      <c r="I141" s="125"/>
      <c r="J141" s="125"/>
      <c r="K141" s="125"/>
      <c r="L141" s="125"/>
      <c r="M141" s="125"/>
      <c r="N141" s="125"/>
      <c r="O141" s="125"/>
      <c r="P141" s="125"/>
      <c r="Q141" s="125"/>
      <c r="R141" s="125"/>
    </row>
    <row r="142" spans="1:18" ht="15.75" customHeight="1">
      <c r="A142" s="125"/>
      <c r="B142" s="125"/>
      <c r="C142" s="4"/>
      <c r="D142" s="125"/>
      <c r="E142" s="125"/>
      <c r="F142" s="4"/>
      <c r="G142" s="125"/>
      <c r="H142" s="125"/>
      <c r="I142" s="125"/>
      <c r="J142" s="125"/>
      <c r="K142" s="125"/>
      <c r="L142" s="125"/>
      <c r="M142" s="125"/>
      <c r="N142" s="125"/>
      <c r="O142" s="125"/>
      <c r="P142" s="125"/>
      <c r="Q142" s="125"/>
      <c r="R142" s="125"/>
    </row>
    <row r="143" spans="1:18" ht="15.75" customHeight="1">
      <c r="A143" s="125"/>
      <c r="B143" s="125"/>
      <c r="C143" s="4"/>
      <c r="D143" s="125"/>
      <c r="E143" s="125"/>
      <c r="F143" s="4"/>
      <c r="G143" s="125"/>
      <c r="H143" s="125"/>
      <c r="I143" s="125"/>
      <c r="J143" s="125"/>
      <c r="K143" s="125"/>
      <c r="L143" s="125"/>
      <c r="M143" s="125"/>
      <c r="N143" s="125"/>
      <c r="O143" s="125"/>
      <c r="P143" s="125"/>
      <c r="Q143" s="125"/>
      <c r="R143" s="125"/>
    </row>
    <row r="144" spans="1:18" ht="15.75" customHeight="1">
      <c r="A144" s="125"/>
      <c r="B144" s="125"/>
      <c r="C144" s="4"/>
      <c r="D144" s="125"/>
      <c r="E144" s="125"/>
      <c r="F144" s="4"/>
      <c r="G144" s="125"/>
      <c r="H144" s="125"/>
      <c r="I144" s="125"/>
      <c r="J144" s="125"/>
      <c r="K144" s="125"/>
      <c r="L144" s="125"/>
      <c r="M144" s="125"/>
      <c r="N144" s="125"/>
      <c r="O144" s="125"/>
      <c r="P144" s="125"/>
      <c r="Q144" s="125"/>
      <c r="R144" s="125"/>
    </row>
    <row r="145" spans="1:18" ht="15.75" customHeight="1">
      <c r="A145" s="125"/>
      <c r="B145" s="125"/>
      <c r="C145" s="4"/>
      <c r="D145" s="125"/>
      <c r="E145" s="125"/>
      <c r="F145" s="4"/>
      <c r="G145" s="125"/>
      <c r="H145" s="125"/>
      <c r="I145" s="125"/>
      <c r="J145" s="125"/>
      <c r="K145" s="125"/>
      <c r="L145" s="125"/>
      <c r="M145" s="125"/>
      <c r="N145" s="125"/>
      <c r="O145" s="125"/>
      <c r="P145" s="125"/>
      <c r="Q145" s="125"/>
      <c r="R145" s="125"/>
    </row>
    <row r="146" spans="1:18" ht="15.75" customHeight="1">
      <c r="A146" s="125"/>
      <c r="B146" s="125"/>
      <c r="C146" s="4"/>
      <c r="D146" s="125"/>
      <c r="E146" s="125"/>
      <c r="F146" s="4"/>
      <c r="G146" s="125"/>
      <c r="H146" s="125"/>
      <c r="I146" s="125"/>
      <c r="J146" s="125"/>
      <c r="K146" s="125"/>
      <c r="L146" s="125"/>
      <c r="M146" s="125"/>
      <c r="N146" s="125"/>
      <c r="O146" s="125"/>
      <c r="P146" s="125"/>
      <c r="Q146" s="125"/>
      <c r="R146" s="125"/>
    </row>
    <row r="147" spans="1:18" ht="15.75" customHeight="1">
      <c r="A147" s="125"/>
      <c r="B147" s="125"/>
      <c r="C147" s="4"/>
      <c r="D147" s="125"/>
      <c r="E147" s="125"/>
      <c r="F147" s="4"/>
      <c r="G147" s="125"/>
      <c r="H147" s="125"/>
      <c r="I147" s="125"/>
      <c r="J147" s="125"/>
      <c r="K147" s="125"/>
      <c r="L147" s="125"/>
      <c r="M147" s="125"/>
      <c r="N147" s="125"/>
      <c r="O147" s="125"/>
      <c r="P147" s="125"/>
      <c r="Q147" s="125"/>
      <c r="R147" s="125"/>
    </row>
    <row r="148" spans="1:18" ht="15.75" customHeight="1">
      <c r="A148" s="125"/>
      <c r="B148" s="125"/>
      <c r="C148" s="4"/>
      <c r="D148" s="125"/>
      <c r="E148" s="125"/>
      <c r="F148" s="4"/>
      <c r="G148" s="125"/>
      <c r="H148" s="125"/>
      <c r="I148" s="125"/>
      <c r="J148" s="125"/>
      <c r="K148" s="125"/>
      <c r="L148" s="125"/>
      <c r="M148" s="125"/>
      <c r="N148" s="125"/>
      <c r="O148" s="125"/>
      <c r="P148" s="125"/>
      <c r="Q148" s="125"/>
      <c r="R148" s="125"/>
    </row>
    <row r="149" spans="1:18" ht="15.75" customHeight="1">
      <c r="A149" s="125"/>
      <c r="B149" s="125"/>
      <c r="C149" s="4"/>
      <c r="D149" s="125"/>
      <c r="E149" s="125"/>
      <c r="F149" s="4"/>
      <c r="G149" s="125"/>
      <c r="H149" s="125"/>
      <c r="I149" s="125"/>
      <c r="J149" s="125"/>
      <c r="K149" s="125"/>
      <c r="L149" s="125"/>
      <c r="M149" s="125"/>
      <c r="N149" s="125"/>
      <c r="O149" s="125"/>
      <c r="P149" s="125"/>
      <c r="Q149" s="125"/>
      <c r="R149" s="125"/>
    </row>
    <row r="150" spans="1:18" ht="15.75" customHeight="1">
      <c r="A150" s="125"/>
      <c r="B150" s="125"/>
      <c r="C150" s="4"/>
      <c r="D150" s="125"/>
      <c r="E150" s="125"/>
      <c r="F150" s="4"/>
      <c r="G150" s="125"/>
      <c r="H150" s="125"/>
      <c r="I150" s="125"/>
      <c r="J150" s="125"/>
      <c r="K150" s="125"/>
      <c r="L150" s="125"/>
      <c r="M150" s="125"/>
      <c r="N150" s="125"/>
      <c r="O150" s="125"/>
      <c r="P150" s="125"/>
      <c r="Q150" s="125"/>
      <c r="R150" s="125"/>
    </row>
    <row r="151" spans="1:18" ht="15.75" customHeight="1">
      <c r="A151" s="125"/>
      <c r="B151" s="125"/>
      <c r="C151" s="4"/>
      <c r="D151" s="125"/>
      <c r="E151" s="125"/>
      <c r="F151" s="4"/>
      <c r="G151" s="125"/>
      <c r="H151" s="125"/>
      <c r="I151" s="125"/>
      <c r="J151" s="125"/>
      <c r="K151" s="125"/>
      <c r="L151" s="125"/>
      <c r="M151" s="125"/>
      <c r="N151" s="125"/>
      <c r="O151" s="125"/>
      <c r="P151" s="125"/>
      <c r="Q151" s="125"/>
      <c r="R151" s="125"/>
    </row>
    <row r="152" spans="1:18" ht="15.75" customHeight="1">
      <c r="A152" s="125"/>
      <c r="B152" s="125"/>
      <c r="C152" s="4"/>
      <c r="D152" s="125"/>
      <c r="E152" s="125"/>
      <c r="F152" s="4"/>
      <c r="G152" s="125"/>
      <c r="H152" s="125"/>
      <c r="I152" s="125"/>
      <c r="J152" s="125"/>
      <c r="K152" s="125"/>
      <c r="L152" s="125"/>
      <c r="M152" s="125"/>
      <c r="N152" s="125"/>
      <c r="O152" s="125"/>
      <c r="P152" s="125"/>
      <c r="Q152" s="125"/>
      <c r="R152" s="125"/>
    </row>
    <row r="153" spans="1:18" ht="15.75" customHeight="1">
      <c r="A153" s="125"/>
      <c r="B153" s="125"/>
      <c r="C153" s="4"/>
      <c r="D153" s="125"/>
      <c r="E153" s="125"/>
      <c r="F153" s="4"/>
      <c r="G153" s="125"/>
      <c r="H153" s="125"/>
      <c r="I153" s="125"/>
      <c r="J153" s="125"/>
      <c r="K153" s="125"/>
      <c r="L153" s="125"/>
      <c r="M153" s="125"/>
      <c r="N153" s="125"/>
      <c r="O153" s="125"/>
      <c r="P153" s="125"/>
      <c r="Q153" s="125"/>
      <c r="R153" s="125"/>
    </row>
    <row r="154" spans="1:18" ht="15.75" customHeight="1">
      <c r="A154" s="125"/>
      <c r="B154" s="125"/>
      <c r="C154" s="4"/>
      <c r="D154" s="125"/>
      <c r="E154" s="125"/>
      <c r="F154" s="4"/>
      <c r="G154" s="125"/>
      <c r="H154" s="125"/>
      <c r="I154" s="125"/>
      <c r="J154" s="125"/>
      <c r="K154" s="125"/>
      <c r="L154" s="125"/>
      <c r="M154" s="125"/>
      <c r="N154" s="125"/>
      <c r="O154" s="125"/>
      <c r="P154" s="125"/>
      <c r="Q154" s="125"/>
      <c r="R154" s="125"/>
    </row>
    <row r="155" spans="1:18" ht="15.75" customHeight="1">
      <c r="A155" s="125"/>
      <c r="B155" s="125"/>
      <c r="C155" s="4"/>
      <c r="D155" s="125"/>
      <c r="E155" s="125"/>
      <c r="F155" s="4"/>
      <c r="G155" s="125"/>
      <c r="H155" s="125"/>
      <c r="I155" s="125"/>
      <c r="J155" s="125"/>
      <c r="K155" s="125"/>
      <c r="L155" s="125"/>
      <c r="M155" s="125"/>
      <c r="N155" s="125"/>
      <c r="O155" s="125"/>
      <c r="P155" s="125"/>
      <c r="Q155" s="125"/>
      <c r="R155" s="125"/>
    </row>
    <row r="156" spans="1:18" ht="15.75" customHeight="1">
      <c r="A156" s="125"/>
      <c r="B156" s="125"/>
      <c r="C156" s="4"/>
      <c r="D156" s="125"/>
      <c r="E156" s="125"/>
      <c r="F156" s="4"/>
      <c r="G156" s="125"/>
      <c r="H156" s="125"/>
      <c r="I156" s="125"/>
      <c r="J156" s="125"/>
      <c r="K156" s="125"/>
      <c r="L156" s="125"/>
      <c r="M156" s="125"/>
      <c r="N156" s="125"/>
      <c r="O156" s="125"/>
      <c r="P156" s="125"/>
      <c r="Q156" s="125"/>
      <c r="R156" s="125"/>
    </row>
    <row r="157" spans="1:18" ht="15.75" customHeight="1">
      <c r="A157" s="125"/>
      <c r="B157" s="125"/>
      <c r="C157" s="4"/>
      <c r="D157" s="125"/>
      <c r="E157" s="125"/>
      <c r="F157" s="4"/>
      <c r="G157" s="125"/>
      <c r="H157" s="125"/>
      <c r="I157" s="125"/>
      <c r="J157" s="125"/>
      <c r="K157" s="125"/>
      <c r="L157" s="125"/>
      <c r="M157" s="125"/>
      <c r="N157" s="125"/>
      <c r="O157" s="125"/>
      <c r="P157" s="125"/>
      <c r="Q157" s="125"/>
      <c r="R157" s="125"/>
    </row>
    <row r="158" spans="1:18" ht="15.75" customHeight="1">
      <c r="A158" s="125"/>
      <c r="B158" s="125"/>
      <c r="C158" s="4"/>
      <c r="D158" s="125"/>
      <c r="E158" s="125"/>
      <c r="F158" s="4"/>
      <c r="G158" s="125"/>
      <c r="H158" s="125"/>
      <c r="I158" s="125"/>
      <c r="J158" s="125"/>
      <c r="K158" s="125"/>
      <c r="L158" s="125"/>
      <c r="M158" s="125"/>
      <c r="N158" s="125"/>
      <c r="O158" s="125"/>
      <c r="P158" s="125"/>
      <c r="Q158" s="125"/>
      <c r="R158" s="125"/>
    </row>
    <row r="159" spans="1:18" ht="15.75" customHeight="1">
      <c r="A159" s="125"/>
      <c r="B159" s="125"/>
      <c r="C159" s="4"/>
      <c r="D159" s="125"/>
      <c r="E159" s="125"/>
      <c r="F159" s="4"/>
      <c r="G159" s="125"/>
      <c r="H159" s="125"/>
      <c r="I159" s="125"/>
      <c r="J159" s="125"/>
      <c r="K159" s="125"/>
      <c r="L159" s="125"/>
      <c r="M159" s="125"/>
      <c r="N159" s="125"/>
      <c r="O159" s="125"/>
      <c r="P159" s="125"/>
      <c r="Q159" s="125"/>
      <c r="R159" s="125"/>
    </row>
    <row r="160" spans="1:18" ht="15.75" customHeight="1">
      <c r="A160" s="125"/>
      <c r="B160" s="125"/>
      <c r="C160" s="4"/>
      <c r="D160" s="125"/>
      <c r="E160" s="125"/>
      <c r="F160" s="4"/>
      <c r="G160" s="125"/>
      <c r="H160" s="125"/>
      <c r="I160" s="125"/>
      <c r="J160" s="125"/>
      <c r="K160" s="125"/>
      <c r="L160" s="125"/>
      <c r="M160" s="125"/>
      <c r="N160" s="125"/>
      <c r="O160" s="125"/>
      <c r="P160" s="125"/>
      <c r="Q160" s="125"/>
      <c r="R160" s="125"/>
    </row>
    <row r="161" spans="1:18" ht="15.75" customHeight="1">
      <c r="A161" s="125"/>
      <c r="B161" s="125"/>
      <c r="C161" s="4"/>
      <c r="D161" s="125"/>
      <c r="E161" s="125"/>
      <c r="F161" s="4"/>
      <c r="G161" s="125"/>
      <c r="H161" s="125"/>
      <c r="I161" s="125"/>
      <c r="J161" s="125"/>
      <c r="K161" s="125"/>
      <c r="L161" s="125"/>
      <c r="M161" s="125"/>
      <c r="N161" s="125"/>
      <c r="O161" s="125"/>
      <c r="P161" s="125"/>
      <c r="Q161" s="125"/>
      <c r="R161" s="125"/>
    </row>
    <row r="162" spans="1:18" ht="15.75" customHeight="1">
      <c r="A162" s="125"/>
      <c r="B162" s="125"/>
      <c r="C162" s="4"/>
      <c r="D162" s="125"/>
      <c r="E162" s="125"/>
      <c r="F162" s="4"/>
      <c r="G162" s="125"/>
      <c r="H162" s="125"/>
      <c r="I162" s="125"/>
      <c r="J162" s="125"/>
      <c r="K162" s="125"/>
      <c r="L162" s="125"/>
      <c r="M162" s="125"/>
      <c r="N162" s="125"/>
      <c r="O162" s="125"/>
      <c r="P162" s="125"/>
      <c r="Q162" s="125"/>
      <c r="R162" s="125"/>
    </row>
    <row r="163" spans="1:18" ht="15.75" customHeight="1">
      <c r="A163" s="125"/>
      <c r="B163" s="125"/>
      <c r="C163" s="4"/>
      <c r="D163" s="125"/>
      <c r="E163" s="125"/>
      <c r="F163" s="4"/>
      <c r="G163" s="125"/>
      <c r="H163" s="125"/>
      <c r="I163" s="125"/>
      <c r="J163" s="125"/>
      <c r="K163" s="125"/>
      <c r="L163" s="125"/>
      <c r="M163" s="125"/>
      <c r="N163" s="125"/>
      <c r="O163" s="125"/>
      <c r="P163" s="125"/>
      <c r="Q163" s="125"/>
      <c r="R163" s="125"/>
    </row>
    <row r="164" spans="1:18" ht="15.75" customHeight="1">
      <c r="A164" s="125"/>
      <c r="B164" s="125"/>
      <c r="C164" s="4"/>
      <c r="D164" s="125"/>
      <c r="E164" s="125"/>
      <c r="F164" s="4"/>
      <c r="G164" s="125"/>
      <c r="H164" s="125"/>
      <c r="I164" s="125"/>
      <c r="J164" s="125"/>
      <c r="K164" s="125"/>
      <c r="L164" s="125"/>
      <c r="M164" s="125"/>
      <c r="N164" s="125"/>
      <c r="O164" s="125"/>
      <c r="P164" s="125"/>
      <c r="Q164" s="125"/>
      <c r="R164" s="125"/>
    </row>
    <row r="165" spans="1:18" ht="15.75" customHeight="1">
      <c r="A165" s="125"/>
      <c r="B165" s="125"/>
      <c r="C165" s="4"/>
      <c r="D165" s="125"/>
      <c r="E165" s="125"/>
      <c r="F165" s="4"/>
      <c r="G165" s="125"/>
      <c r="H165" s="125"/>
      <c r="I165" s="125"/>
      <c r="J165" s="125"/>
      <c r="K165" s="125"/>
      <c r="L165" s="125"/>
      <c r="M165" s="125"/>
      <c r="N165" s="125"/>
      <c r="O165" s="125"/>
      <c r="P165" s="125"/>
      <c r="Q165" s="125"/>
      <c r="R165" s="125"/>
    </row>
    <row r="166" spans="1:18" ht="15.75" customHeight="1">
      <c r="A166" s="125"/>
      <c r="B166" s="125"/>
      <c r="C166" s="4"/>
      <c r="D166" s="125"/>
      <c r="E166" s="125"/>
      <c r="F166" s="4"/>
      <c r="G166" s="125"/>
      <c r="H166" s="125"/>
      <c r="I166" s="125"/>
      <c r="J166" s="125"/>
      <c r="K166" s="125"/>
      <c r="L166" s="125"/>
      <c r="M166" s="125"/>
      <c r="N166" s="125"/>
      <c r="O166" s="125"/>
      <c r="P166" s="125"/>
      <c r="Q166" s="125"/>
      <c r="R166" s="125"/>
    </row>
    <row r="167" spans="1:18" ht="15.75" customHeight="1">
      <c r="A167" s="125"/>
      <c r="B167" s="125"/>
      <c r="C167" s="4"/>
      <c r="D167" s="125"/>
      <c r="E167" s="125"/>
      <c r="F167" s="4"/>
      <c r="G167" s="125"/>
      <c r="H167" s="125"/>
      <c r="I167" s="125"/>
      <c r="J167" s="125"/>
      <c r="K167" s="125"/>
      <c r="L167" s="125"/>
      <c r="M167" s="125"/>
      <c r="N167" s="125"/>
      <c r="O167" s="125"/>
      <c r="P167" s="125"/>
      <c r="Q167" s="125"/>
      <c r="R167" s="125"/>
    </row>
    <row r="168" spans="1:18" ht="15.75" customHeight="1">
      <c r="A168" s="125"/>
      <c r="B168" s="125"/>
      <c r="C168" s="4"/>
      <c r="D168" s="125"/>
      <c r="E168" s="125"/>
      <c r="F168" s="4"/>
      <c r="G168" s="125"/>
      <c r="H168" s="125"/>
      <c r="I168" s="125"/>
      <c r="J168" s="125"/>
      <c r="K168" s="125"/>
      <c r="L168" s="125"/>
      <c r="M168" s="125"/>
      <c r="N168" s="125"/>
      <c r="O168" s="125"/>
      <c r="P168" s="125"/>
      <c r="Q168" s="125"/>
      <c r="R168" s="125"/>
    </row>
    <row r="169" spans="1:18" ht="15.75" customHeight="1">
      <c r="A169" s="125"/>
      <c r="B169" s="125"/>
      <c r="C169" s="4"/>
      <c r="D169" s="125"/>
      <c r="E169" s="125"/>
      <c r="F169" s="4"/>
      <c r="G169" s="125"/>
      <c r="H169" s="125"/>
      <c r="I169" s="125"/>
      <c r="J169" s="125"/>
      <c r="K169" s="125"/>
      <c r="L169" s="125"/>
      <c r="M169" s="125"/>
      <c r="N169" s="125"/>
      <c r="O169" s="125"/>
      <c r="P169" s="125"/>
      <c r="Q169" s="125"/>
      <c r="R169" s="125"/>
    </row>
    <row r="170" spans="1:18" ht="15.75" customHeight="1">
      <c r="A170" s="125"/>
      <c r="B170" s="125"/>
      <c r="C170" s="4"/>
      <c r="D170" s="125"/>
      <c r="E170" s="125"/>
      <c r="F170" s="4"/>
      <c r="G170" s="125"/>
      <c r="H170" s="125"/>
      <c r="I170" s="125"/>
      <c r="J170" s="125"/>
      <c r="K170" s="125"/>
      <c r="L170" s="125"/>
      <c r="M170" s="125"/>
      <c r="N170" s="125"/>
      <c r="O170" s="125"/>
      <c r="P170" s="125"/>
      <c r="Q170" s="125"/>
      <c r="R170" s="125"/>
    </row>
    <row r="171" spans="1:18" ht="15.75" customHeight="1">
      <c r="A171" s="125"/>
      <c r="B171" s="125"/>
      <c r="C171" s="4"/>
      <c r="D171" s="125"/>
      <c r="E171" s="125"/>
      <c r="F171" s="4"/>
      <c r="G171" s="125"/>
      <c r="H171" s="125"/>
      <c r="I171" s="125"/>
      <c r="J171" s="125"/>
      <c r="K171" s="125"/>
      <c r="L171" s="125"/>
      <c r="M171" s="125"/>
      <c r="N171" s="125"/>
      <c r="O171" s="125"/>
      <c r="P171" s="125"/>
      <c r="Q171" s="125"/>
      <c r="R171" s="125"/>
    </row>
    <row r="172" spans="1:18" ht="15.75" customHeight="1">
      <c r="A172" s="125"/>
      <c r="B172" s="125"/>
      <c r="C172" s="4"/>
      <c r="D172" s="125"/>
      <c r="E172" s="125"/>
      <c r="F172" s="4"/>
      <c r="G172" s="125"/>
      <c r="H172" s="125"/>
      <c r="I172" s="125"/>
      <c r="J172" s="125"/>
      <c r="K172" s="125"/>
      <c r="L172" s="125"/>
      <c r="M172" s="125"/>
      <c r="N172" s="125"/>
      <c r="O172" s="125"/>
      <c r="P172" s="125"/>
      <c r="Q172" s="125"/>
      <c r="R172" s="125"/>
    </row>
    <row r="173" spans="1:18" ht="15.75" customHeight="1">
      <c r="A173" s="125"/>
      <c r="B173" s="125"/>
      <c r="C173" s="4"/>
      <c r="D173" s="125"/>
      <c r="E173" s="125"/>
      <c r="F173" s="4"/>
      <c r="G173" s="125"/>
      <c r="H173" s="125"/>
      <c r="I173" s="125"/>
      <c r="J173" s="125"/>
      <c r="K173" s="125"/>
      <c r="L173" s="125"/>
      <c r="M173" s="125"/>
      <c r="N173" s="125"/>
      <c r="O173" s="125"/>
      <c r="P173" s="125"/>
      <c r="Q173" s="125"/>
      <c r="R173" s="125"/>
    </row>
    <row r="174" spans="1:18" ht="15.75" customHeight="1">
      <c r="A174" s="125"/>
      <c r="B174" s="125"/>
      <c r="C174" s="4"/>
      <c r="D174" s="125"/>
      <c r="E174" s="125"/>
      <c r="F174" s="4"/>
      <c r="G174" s="125"/>
      <c r="H174" s="125"/>
      <c r="I174" s="125"/>
      <c r="J174" s="125"/>
      <c r="K174" s="125"/>
      <c r="L174" s="125"/>
      <c r="M174" s="125"/>
      <c r="N174" s="125"/>
      <c r="O174" s="125"/>
      <c r="P174" s="125"/>
      <c r="Q174" s="125"/>
      <c r="R174" s="125"/>
    </row>
    <row r="175" spans="1:18" ht="15.75" customHeight="1">
      <c r="A175" s="125"/>
      <c r="B175" s="125"/>
      <c r="C175" s="4"/>
      <c r="D175" s="125"/>
      <c r="E175" s="125"/>
      <c r="F175" s="4"/>
      <c r="G175" s="125"/>
      <c r="H175" s="125"/>
      <c r="I175" s="125"/>
      <c r="J175" s="125"/>
      <c r="K175" s="125"/>
      <c r="L175" s="125"/>
      <c r="M175" s="125"/>
      <c r="N175" s="125"/>
      <c r="O175" s="125"/>
      <c r="P175" s="125"/>
      <c r="Q175" s="125"/>
      <c r="R175" s="125"/>
    </row>
    <row r="176" spans="1:18" ht="15.75" customHeight="1">
      <c r="A176" s="125"/>
      <c r="B176" s="125"/>
      <c r="C176" s="4"/>
      <c r="D176" s="125"/>
      <c r="E176" s="125"/>
      <c r="F176" s="4"/>
      <c r="G176" s="125"/>
      <c r="H176" s="125"/>
      <c r="I176" s="125"/>
      <c r="J176" s="125"/>
      <c r="K176" s="125"/>
      <c r="L176" s="125"/>
      <c r="M176" s="125"/>
      <c r="N176" s="125"/>
      <c r="O176" s="125"/>
      <c r="P176" s="125"/>
      <c r="Q176" s="125"/>
      <c r="R176" s="125"/>
    </row>
    <row r="177" spans="1:18" ht="15.75" customHeight="1">
      <c r="A177" s="125"/>
      <c r="B177" s="125"/>
      <c r="C177" s="4"/>
      <c r="D177" s="125"/>
      <c r="E177" s="125"/>
      <c r="F177" s="4"/>
      <c r="G177" s="125"/>
      <c r="H177" s="125"/>
      <c r="I177" s="125"/>
      <c r="J177" s="125"/>
      <c r="K177" s="125"/>
      <c r="L177" s="125"/>
      <c r="M177" s="125"/>
      <c r="N177" s="125"/>
      <c r="O177" s="125"/>
      <c r="P177" s="125"/>
      <c r="Q177" s="125"/>
      <c r="R177" s="125"/>
    </row>
    <row r="178" spans="1:18" ht="15.75" customHeight="1">
      <c r="A178" s="125"/>
      <c r="B178" s="125"/>
      <c r="C178" s="4"/>
      <c r="D178" s="125"/>
      <c r="E178" s="125"/>
      <c r="F178" s="4"/>
      <c r="G178" s="125"/>
      <c r="H178" s="125"/>
      <c r="I178" s="125"/>
      <c r="J178" s="125"/>
      <c r="K178" s="125"/>
      <c r="L178" s="125"/>
      <c r="M178" s="125"/>
      <c r="N178" s="125"/>
      <c r="O178" s="125"/>
      <c r="P178" s="125"/>
      <c r="Q178" s="125"/>
      <c r="R178" s="125"/>
    </row>
    <row r="179" spans="1:18" ht="15.75" customHeight="1">
      <c r="A179" s="125"/>
      <c r="B179" s="125"/>
      <c r="C179" s="4"/>
      <c r="D179" s="125"/>
      <c r="E179" s="125"/>
      <c r="F179" s="4"/>
      <c r="G179" s="125"/>
      <c r="H179" s="125"/>
      <c r="I179" s="125"/>
      <c r="J179" s="125"/>
      <c r="K179" s="125"/>
      <c r="L179" s="125"/>
      <c r="M179" s="125"/>
      <c r="N179" s="125"/>
      <c r="O179" s="125"/>
      <c r="P179" s="125"/>
      <c r="Q179" s="125"/>
      <c r="R179" s="125"/>
    </row>
    <row r="180" spans="1:18" ht="15.75" customHeight="1">
      <c r="A180" s="125"/>
      <c r="B180" s="125"/>
      <c r="C180" s="4"/>
      <c r="D180" s="125"/>
      <c r="E180" s="125"/>
      <c r="F180" s="4"/>
      <c r="G180" s="125"/>
      <c r="H180" s="125"/>
      <c r="I180" s="125"/>
      <c r="J180" s="125"/>
      <c r="K180" s="125"/>
      <c r="L180" s="125"/>
      <c r="M180" s="125"/>
      <c r="N180" s="125"/>
      <c r="O180" s="125"/>
      <c r="P180" s="125"/>
      <c r="Q180" s="125"/>
      <c r="R180" s="125"/>
    </row>
    <row r="181" spans="1:18" ht="15.75" customHeight="1">
      <c r="A181" s="125"/>
      <c r="B181" s="125"/>
      <c r="C181" s="4"/>
      <c r="D181" s="125"/>
      <c r="E181" s="125"/>
      <c r="F181" s="4"/>
      <c r="G181" s="125"/>
      <c r="H181" s="125"/>
      <c r="I181" s="125"/>
      <c r="J181" s="125"/>
      <c r="K181" s="125"/>
      <c r="L181" s="125"/>
      <c r="M181" s="125"/>
      <c r="N181" s="125"/>
      <c r="O181" s="125"/>
      <c r="P181" s="125"/>
      <c r="Q181" s="125"/>
      <c r="R181" s="125"/>
    </row>
    <row r="182" spans="1:18" ht="15.75" customHeight="1">
      <c r="A182" s="125"/>
      <c r="B182" s="125"/>
      <c r="C182" s="4"/>
      <c r="D182" s="125"/>
      <c r="E182" s="125"/>
      <c r="F182" s="4"/>
      <c r="G182" s="125"/>
      <c r="H182" s="125"/>
      <c r="I182" s="125"/>
      <c r="J182" s="125"/>
      <c r="K182" s="125"/>
      <c r="L182" s="125"/>
      <c r="M182" s="125"/>
      <c r="N182" s="125"/>
      <c r="O182" s="125"/>
      <c r="P182" s="125"/>
      <c r="Q182" s="125"/>
      <c r="R182" s="125"/>
    </row>
    <row r="183" spans="1:18" ht="15.75" customHeight="1">
      <c r="A183" s="125"/>
      <c r="B183" s="125"/>
      <c r="C183" s="4"/>
      <c r="D183" s="125"/>
      <c r="E183" s="125"/>
      <c r="F183" s="4"/>
      <c r="G183" s="125"/>
      <c r="H183" s="125"/>
      <c r="I183" s="125"/>
      <c r="J183" s="125"/>
      <c r="K183" s="125"/>
      <c r="L183" s="125"/>
      <c r="M183" s="125"/>
      <c r="N183" s="125"/>
      <c r="O183" s="125"/>
      <c r="P183" s="125"/>
      <c r="Q183" s="125"/>
      <c r="R183" s="125"/>
    </row>
    <row r="184" spans="1:18" ht="15.75" customHeight="1">
      <c r="A184" s="125"/>
      <c r="B184" s="125"/>
      <c r="C184" s="4"/>
      <c r="D184" s="125"/>
      <c r="E184" s="125"/>
      <c r="F184" s="4"/>
      <c r="G184" s="125"/>
      <c r="H184" s="125"/>
      <c r="I184" s="125"/>
      <c r="J184" s="125"/>
      <c r="K184" s="125"/>
      <c r="L184" s="125"/>
      <c r="M184" s="125"/>
      <c r="N184" s="125"/>
      <c r="O184" s="125"/>
      <c r="P184" s="125"/>
      <c r="Q184" s="125"/>
      <c r="R184" s="125"/>
    </row>
    <row r="185" spans="1:18" ht="15.75" customHeight="1">
      <c r="A185" s="125"/>
      <c r="B185" s="125"/>
      <c r="C185" s="4"/>
      <c r="D185" s="125"/>
      <c r="E185" s="125"/>
      <c r="F185" s="4"/>
      <c r="G185" s="125"/>
      <c r="H185" s="125"/>
      <c r="I185" s="125"/>
      <c r="J185" s="125"/>
      <c r="K185" s="125"/>
      <c r="L185" s="125"/>
      <c r="M185" s="125"/>
      <c r="N185" s="125"/>
      <c r="O185" s="125"/>
      <c r="P185" s="125"/>
      <c r="Q185" s="125"/>
      <c r="R185" s="125"/>
    </row>
    <row r="186" spans="1:18" ht="15.75" customHeight="1">
      <c r="A186" s="125"/>
      <c r="B186" s="125"/>
      <c r="C186" s="4"/>
      <c r="D186" s="125"/>
      <c r="E186" s="125"/>
      <c r="F186" s="4"/>
      <c r="G186" s="125"/>
      <c r="H186" s="125"/>
      <c r="I186" s="125"/>
      <c r="J186" s="125"/>
      <c r="K186" s="125"/>
      <c r="L186" s="125"/>
      <c r="M186" s="125"/>
      <c r="N186" s="125"/>
      <c r="O186" s="125"/>
      <c r="P186" s="125"/>
      <c r="Q186" s="125"/>
      <c r="R186" s="125"/>
    </row>
    <row r="187" spans="1:18" ht="15.75" customHeight="1">
      <c r="A187" s="125"/>
      <c r="B187" s="125"/>
      <c r="C187" s="4"/>
      <c r="D187" s="125"/>
      <c r="E187" s="125"/>
      <c r="F187" s="4"/>
      <c r="G187" s="125"/>
      <c r="H187" s="125"/>
      <c r="I187" s="125"/>
      <c r="J187" s="125"/>
      <c r="K187" s="125"/>
      <c r="L187" s="125"/>
      <c r="M187" s="125"/>
      <c r="N187" s="125"/>
      <c r="O187" s="125"/>
      <c r="P187" s="125"/>
      <c r="Q187" s="125"/>
      <c r="R187" s="125"/>
    </row>
    <row r="188" spans="1:18" ht="15.75" customHeight="1">
      <c r="A188" s="125"/>
      <c r="B188" s="125"/>
      <c r="C188" s="4"/>
      <c r="D188" s="125"/>
      <c r="E188" s="125"/>
      <c r="F188" s="4"/>
      <c r="G188" s="125"/>
      <c r="H188" s="125"/>
      <c r="I188" s="125"/>
      <c r="J188" s="125"/>
      <c r="K188" s="125"/>
      <c r="L188" s="125"/>
      <c r="M188" s="125"/>
      <c r="N188" s="125"/>
      <c r="O188" s="125"/>
      <c r="P188" s="125"/>
      <c r="Q188" s="125"/>
      <c r="R188" s="125"/>
    </row>
    <row r="189" spans="1:18" ht="15.75" customHeight="1">
      <c r="A189" s="125"/>
      <c r="B189" s="125"/>
      <c r="C189" s="4"/>
      <c r="D189" s="125"/>
      <c r="E189" s="125"/>
      <c r="F189" s="4"/>
      <c r="G189" s="125"/>
      <c r="H189" s="125"/>
      <c r="I189" s="125"/>
      <c r="J189" s="125"/>
      <c r="K189" s="125"/>
      <c r="L189" s="125"/>
      <c r="M189" s="125"/>
      <c r="N189" s="125"/>
      <c r="O189" s="125"/>
      <c r="P189" s="125"/>
      <c r="Q189" s="125"/>
      <c r="R189" s="125"/>
    </row>
    <row r="190" spans="1:18" ht="15.75" customHeight="1">
      <c r="A190" s="125"/>
      <c r="B190" s="125"/>
      <c r="C190" s="4"/>
      <c r="D190" s="125"/>
      <c r="E190" s="125"/>
      <c r="F190" s="4"/>
      <c r="G190" s="125"/>
      <c r="H190" s="125"/>
      <c r="I190" s="125"/>
      <c r="J190" s="125"/>
      <c r="K190" s="125"/>
      <c r="L190" s="125"/>
      <c r="M190" s="125"/>
      <c r="N190" s="125"/>
      <c r="O190" s="125"/>
      <c r="P190" s="125"/>
      <c r="Q190" s="125"/>
      <c r="R190" s="125"/>
    </row>
    <row r="191" spans="1:18" ht="15.75" customHeight="1">
      <c r="A191" s="125"/>
      <c r="B191" s="125"/>
      <c r="C191" s="125"/>
      <c r="D191" s="125"/>
      <c r="E191" s="125"/>
      <c r="F191" s="125"/>
      <c r="G191" s="125"/>
      <c r="H191" s="125"/>
      <c r="I191" s="125"/>
      <c r="J191" s="125"/>
      <c r="K191" s="125"/>
      <c r="L191" s="125"/>
      <c r="M191" s="125"/>
      <c r="N191" s="125"/>
      <c r="O191" s="125"/>
      <c r="P191" s="125"/>
      <c r="Q191" s="125"/>
      <c r="R191" s="125"/>
    </row>
    <row r="192" spans="1:18" ht="15.75" customHeight="1">
      <c r="A192" s="125"/>
      <c r="B192" s="125"/>
      <c r="C192" s="125"/>
      <c r="D192" s="125"/>
      <c r="E192" s="125"/>
      <c r="F192" s="125"/>
      <c r="G192" s="125"/>
      <c r="H192" s="125"/>
      <c r="I192" s="125"/>
      <c r="J192" s="125"/>
      <c r="K192" s="125"/>
      <c r="L192" s="125"/>
      <c r="M192" s="125"/>
      <c r="N192" s="125"/>
      <c r="O192" s="125"/>
      <c r="P192" s="125"/>
      <c r="Q192" s="125"/>
      <c r="R192" s="125"/>
    </row>
    <row r="193" spans="1:18" ht="15.75" customHeight="1">
      <c r="A193" s="125"/>
      <c r="B193" s="125"/>
      <c r="C193" s="125"/>
      <c r="D193" s="125"/>
      <c r="E193" s="125"/>
      <c r="F193" s="125"/>
      <c r="G193" s="125"/>
      <c r="H193" s="125"/>
      <c r="I193" s="125"/>
      <c r="J193" s="125"/>
      <c r="K193" s="125"/>
      <c r="L193" s="125"/>
      <c r="M193" s="125"/>
      <c r="N193" s="125"/>
      <c r="O193" s="125"/>
      <c r="P193" s="125"/>
      <c r="Q193" s="125"/>
      <c r="R193" s="125"/>
    </row>
    <row r="194" spans="1:18" ht="15.75" customHeight="1">
      <c r="A194" s="125"/>
      <c r="B194" s="125"/>
      <c r="C194" s="125"/>
      <c r="D194" s="125"/>
      <c r="E194" s="125"/>
      <c r="F194" s="125"/>
      <c r="G194" s="125"/>
      <c r="H194" s="125"/>
      <c r="I194" s="125"/>
      <c r="J194" s="125"/>
      <c r="K194" s="125"/>
      <c r="L194" s="125"/>
      <c r="M194" s="125"/>
      <c r="N194" s="125"/>
      <c r="O194" s="125"/>
      <c r="P194" s="125"/>
      <c r="Q194" s="125"/>
      <c r="R194" s="125"/>
    </row>
    <row r="195" spans="1:18" ht="15.75" customHeight="1">
      <c r="A195" s="125"/>
      <c r="B195" s="125"/>
      <c r="C195" s="125"/>
      <c r="D195" s="125"/>
      <c r="E195" s="125"/>
      <c r="F195" s="125"/>
      <c r="G195" s="125"/>
      <c r="H195" s="125"/>
      <c r="I195" s="125"/>
      <c r="J195" s="125"/>
      <c r="K195" s="125"/>
      <c r="L195" s="125"/>
      <c r="M195" s="125"/>
      <c r="N195" s="125"/>
      <c r="O195" s="125"/>
      <c r="P195" s="125"/>
      <c r="Q195" s="125"/>
      <c r="R195" s="125"/>
    </row>
    <row r="196" spans="1:18" ht="15.75" customHeight="1">
      <c r="A196" s="125"/>
      <c r="B196" s="125"/>
      <c r="C196" s="125"/>
      <c r="D196" s="125"/>
      <c r="E196" s="125"/>
      <c r="F196" s="125"/>
      <c r="G196" s="125"/>
      <c r="H196" s="125"/>
      <c r="I196" s="125"/>
      <c r="J196" s="125"/>
      <c r="K196" s="125"/>
      <c r="L196" s="125"/>
      <c r="M196" s="125"/>
      <c r="N196" s="125"/>
      <c r="O196" s="125"/>
      <c r="P196" s="125"/>
      <c r="Q196" s="125"/>
      <c r="R196" s="125"/>
    </row>
    <row r="197" spans="1:18" ht="15.75" customHeight="1">
      <c r="A197" s="125"/>
      <c r="B197" s="125"/>
      <c r="C197" s="125"/>
      <c r="D197" s="125"/>
      <c r="E197" s="125"/>
      <c r="F197" s="125"/>
      <c r="G197" s="125"/>
      <c r="H197" s="125"/>
      <c r="I197" s="125"/>
      <c r="J197" s="125"/>
      <c r="K197" s="125"/>
      <c r="L197" s="125"/>
      <c r="M197" s="125"/>
      <c r="N197" s="125"/>
      <c r="O197" s="125"/>
      <c r="P197" s="125"/>
      <c r="Q197" s="125"/>
      <c r="R197" s="125"/>
    </row>
    <row r="198" spans="1:18" ht="15.75" customHeight="1">
      <c r="A198" s="125"/>
      <c r="B198" s="125"/>
      <c r="C198" s="125"/>
      <c r="D198" s="125"/>
      <c r="E198" s="125"/>
      <c r="F198" s="125"/>
      <c r="G198" s="125"/>
      <c r="H198" s="125"/>
      <c r="I198" s="125"/>
      <c r="J198" s="125"/>
      <c r="K198" s="125"/>
      <c r="L198" s="125"/>
      <c r="M198" s="125"/>
      <c r="N198" s="125"/>
      <c r="O198" s="125"/>
      <c r="P198" s="125"/>
      <c r="Q198" s="125"/>
      <c r="R198" s="125"/>
    </row>
    <row r="199" spans="1:18" ht="15.75" customHeight="1">
      <c r="A199" s="125"/>
      <c r="B199" s="125"/>
      <c r="C199" s="125"/>
      <c r="D199" s="125"/>
      <c r="E199" s="125"/>
      <c r="F199" s="125"/>
      <c r="G199" s="125"/>
      <c r="H199" s="125"/>
      <c r="I199" s="125"/>
      <c r="J199" s="125"/>
      <c r="K199" s="125"/>
      <c r="L199" s="125"/>
      <c r="M199" s="125"/>
      <c r="N199" s="125"/>
      <c r="O199" s="125"/>
      <c r="P199" s="125"/>
      <c r="Q199" s="125"/>
      <c r="R199" s="125"/>
    </row>
    <row r="200" spans="1:18" ht="15.75" customHeight="1">
      <c r="A200" s="125"/>
      <c r="B200" s="125"/>
      <c r="C200" s="125"/>
      <c r="D200" s="125"/>
      <c r="E200" s="125"/>
      <c r="F200" s="125"/>
      <c r="G200" s="125"/>
      <c r="H200" s="125"/>
      <c r="I200" s="125"/>
      <c r="J200" s="125"/>
      <c r="K200" s="125"/>
      <c r="L200" s="125"/>
      <c r="M200" s="125"/>
      <c r="N200" s="125"/>
      <c r="O200" s="125"/>
      <c r="P200" s="125"/>
      <c r="Q200" s="125"/>
      <c r="R200" s="125"/>
    </row>
    <row r="201" spans="1:18" ht="15.75" customHeight="1">
      <c r="A201" s="125"/>
      <c r="B201" s="125"/>
      <c r="C201" s="125"/>
      <c r="D201" s="125"/>
      <c r="E201" s="125"/>
      <c r="F201" s="125"/>
      <c r="G201" s="125"/>
      <c r="H201" s="125"/>
      <c r="I201" s="125"/>
      <c r="J201" s="125"/>
      <c r="K201" s="125"/>
      <c r="L201" s="125"/>
      <c r="M201" s="125"/>
      <c r="N201" s="125"/>
      <c r="O201" s="125"/>
      <c r="P201" s="125"/>
      <c r="Q201" s="125"/>
      <c r="R201" s="125"/>
    </row>
    <row r="202" spans="1:18" ht="15.75" customHeight="1">
      <c r="A202" s="125"/>
      <c r="B202" s="125"/>
      <c r="C202" s="125"/>
      <c r="D202" s="125"/>
      <c r="E202" s="125"/>
      <c r="F202" s="125"/>
      <c r="G202" s="125"/>
      <c r="H202" s="125"/>
      <c r="I202" s="125"/>
      <c r="J202" s="125"/>
      <c r="K202" s="125"/>
      <c r="L202" s="125"/>
      <c r="M202" s="125"/>
      <c r="N202" s="125"/>
      <c r="O202" s="125"/>
      <c r="P202" s="125"/>
      <c r="Q202" s="125"/>
      <c r="R202" s="125"/>
    </row>
    <row r="203" spans="1:18" ht="15.75" customHeight="1">
      <c r="A203" s="125"/>
      <c r="B203" s="125"/>
      <c r="C203" s="125"/>
      <c r="D203" s="125"/>
      <c r="E203" s="125"/>
      <c r="F203" s="125"/>
      <c r="G203" s="125"/>
      <c r="H203" s="125"/>
      <c r="I203" s="125"/>
      <c r="J203" s="125"/>
      <c r="K203" s="125"/>
      <c r="L203" s="125"/>
      <c r="M203" s="125"/>
      <c r="N203" s="125"/>
      <c r="O203" s="125"/>
      <c r="P203" s="125"/>
      <c r="Q203" s="125"/>
      <c r="R203" s="125"/>
    </row>
    <row r="204" spans="1:18" ht="15.75" customHeight="1">
      <c r="A204" s="125"/>
      <c r="B204" s="125"/>
      <c r="C204" s="125"/>
      <c r="D204" s="125"/>
      <c r="E204" s="125"/>
      <c r="F204" s="125"/>
      <c r="G204" s="125"/>
      <c r="H204" s="125"/>
      <c r="I204" s="125"/>
      <c r="J204" s="125"/>
      <c r="K204" s="125"/>
      <c r="L204" s="125"/>
      <c r="M204" s="125"/>
      <c r="N204" s="125"/>
      <c r="O204" s="125"/>
      <c r="P204" s="125"/>
      <c r="Q204" s="125"/>
      <c r="R204" s="125"/>
    </row>
    <row r="205" spans="1:18" ht="15.75" customHeight="1">
      <c r="A205" s="125"/>
      <c r="B205" s="125"/>
      <c r="C205" s="125"/>
      <c r="D205" s="125"/>
      <c r="E205" s="125"/>
      <c r="F205" s="125"/>
      <c r="G205" s="125"/>
      <c r="H205" s="125"/>
      <c r="I205" s="125"/>
      <c r="J205" s="125"/>
      <c r="K205" s="125"/>
      <c r="L205" s="125"/>
      <c r="M205" s="125"/>
      <c r="N205" s="125"/>
      <c r="O205" s="125"/>
      <c r="P205" s="125"/>
      <c r="Q205" s="125"/>
      <c r="R205" s="125"/>
    </row>
    <row r="206" spans="1:18" ht="15.75" customHeight="1">
      <c r="A206" s="125"/>
      <c r="B206" s="125"/>
      <c r="C206" s="125"/>
      <c r="D206" s="125"/>
      <c r="E206" s="125"/>
      <c r="F206" s="125"/>
      <c r="G206" s="125"/>
      <c r="H206" s="125"/>
      <c r="I206" s="125"/>
      <c r="J206" s="125"/>
      <c r="K206" s="125"/>
      <c r="L206" s="125"/>
      <c r="M206" s="125"/>
      <c r="N206" s="125"/>
      <c r="O206" s="125"/>
      <c r="P206" s="125"/>
      <c r="Q206" s="125"/>
      <c r="R206" s="125"/>
    </row>
    <row r="207" spans="1:18" ht="15.75" customHeight="1">
      <c r="A207" s="125"/>
      <c r="B207" s="125"/>
      <c r="C207" s="125"/>
      <c r="D207" s="125"/>
      <c r="E207" s="125"/>
      <c r="F207" s="125"/>
      <c r="G207" s="125"/>
      <c r="H207" s="125"/>
      <c r="I207" s="125"/>
      <c r="J207" s="125"/>
      <c r="K207" s="125"/>
      <c r="L207" s="125"/>
      <c r="M207" s="125"/>
      <c r="N207" s="125"/>
      <c r="O207" s="125"/>
      <c r="P207" s="125"/>
      <c r="Q207" s="125"/>
      <c r="R207" s="125"/>
    </row>
    <row r="208" spans="1:18" ht="15.75" customHeight="1">
      <c r="A208" s="125"/>
      <c r="B208" s="125"/>
      <c r="C208" s="125"/>
      <c r="D208" s="125"/>
      <c r="E208" s="125"/>
      <c r="F208" s="125"/>
      <c r="G208" s="125"/>
      <c r="H208" s="125"/>
      <c r="I208" s="125"/>
      <c r="J208" s="125"/>
      <c r="K208" s="125"/>
      <c r="L208" s="125"/>
      <c r="M208" s="125"/>
      <c r="N208" s="125"/>
      <c r="O208" s="125"/>
      <c r="P208" s="125"/>
      <c r="Q208" s="125"/>
      <c r="R208" s="125"/>
    </row>
    <row r="209" spans="1:18" ht="15.75" customHeight="1">
      <c r="A209" s="125"/>
      <c r="B209" s="125"/>
      <c r="C209" s="125"/>
      <c r="D209" s="125"/>
      <c r="E209" s="125"/>
      <c r="F209" s="125"/>
      <c r="G209" s="125"/>
      <c r="H209" s="125"/>
      <c r="I209" s="125"/>
      <c r="J209" s="125"/>
      <c r="K209" s="125"/>
      <c r="L209" s="125"/>
      <c r="M209" s="125"/>
      <c r="N209" s="125"/>
      <c r="O209" s="125"/>
      <c r="P209" s="125"/>
      <c r="Q209" s="125"/>
      <c r="R209" s="125"/>
    </row>
    <row r="210" spans="1:18" ht="15.75" customHeight="1">
      <c r="A210" s="125"/>
      <c r="B210" s="125"/>
      <c r="C210" s="125"/>
      <c r="D210" s="125"/>
      <c r="E210" s="125"/>
      <c r="F210" s="125"/>
      <c r="G210" s="125"/>
      <c r="H210" s="125"/>
      <c r="I210" s="125"/>
      <c r="J210" s="125"/>
      <c r="K210" s="125"/>
      <c r="L210" s="125"/>
      <c r="M210" s="125"/>
      <c r="N210" s="125"/>
      <c r="O210" s="125"/>
      <c r="P210" s="125"/>
      <c r="Q210" s="125"/>
      <c r="R210" s="125"/>
    </row>
    <row r="211" spans="1:18" ht="15.75" customHeight="1">
      <c r="A211" s="125"/>
      <c r="B211" s="125"/>
      <c r="C211" s="125"/>
      <c r="D211" s="125"/>
      <c r="E211" s="125"/>
      <c r="F211" s="125"/>
      <c r="G211" s="125"/>
      <c r="H211" s="125"/>
      <c r="I211" s="125"/>
      <c r="J211" s="125"/>
      <c r="K211" s="125"/>
      <c r="L211" s="125"/>
      <c r="M211" s="125"/>
      <c r="N211" s="125"/>
      <c r="O211" s="125"/>
      <c r="P211" s="125"/>
      <c r="Q211" s="125"/>
      <c r="R211" s="125"/>
    </row>
    <row r="212" spans="1:18" ht="15.75" customHeight="1">
      <c r="A212" s="125"/>
      <c r="B212" s="125"/>
      <c r="C212" s="125"/>
      <c r="D212" s="125"/>
      <c r="E212" s="125"/>
      <c r="F212" s="125"/>
      <c r="G212" s="125"/>
      <c r="H212" s="125"/>
      <c r="I212" s="125"/>
      <c r="J212" s="125"/>
      <c r="K212" s="125"/>
      <c r="L212" s="125"/>
      <c r="M212" s="125"/>
      <c r="N212" s="125"/>
      <c r="O212" s="125"/>
      <c r="P212" s="125"/>
      <c r="Q212" s="125"/>
      <c r="R212" s="125"/>
    </row>
    <row r="213" spans="1:18" ht="15.75" customHeight="1">
      <c r="A213" s="125"/>
      <c r="B213" s="125"/>
      <c r="C213" s="125"/>
      <c r="D213" s="125"/>
      <c r="E213" s="125"/>
      <c r="F213" s="125"/>
      <c r="G213" s="125"/>
      <c r="H213" s="125"/>
      <c r="I213" s="125"/>
      <c r="J213" s="125"/>
      <c r="K213" s="125"/>
      <c r="L213" s="125"/>
      <c r="M213" s="125"/>
      <c r="N213" s="125"/>
      <c r="O213" s="125"/>
      <c r="P213" s="125"/>
      <c r="Q213" s="125"/>
      <c r="R213" s="125"/>
    </row>
    <row r="214" spans="1:18" ht="15.75" customHeight="1">
      <c r="A214" s="125"/>
      <c r="B214" s="125"/>
      <c r="C214" s="125"/>
      <c r="D214" s="125"/>
      <c r="E214" s="125"/>
      <c r="F214" s="125"/>
      <c r="G214" s="125"/>
      <c r="H214" s="125"/>
      <c r="I214" s="125"/>
      <c r="J214" s="125"/>
      <c r="K214" s="125"/>
      <c r="L214" s="125"/>
      <c r="M214" s="125"/>
      <c r="N214" s="125"/>
      <c r="O214" s="125"/>
      <c r="P214" s="125"/>
      <c r="Q214" s="125"/>
      <c r="R214" s="125"/>
    </row>
    <row r="215" spans="1:18" ht="15.75" customHeight="1">
      <c r="A215" s="125"/>
      <c r="B215" s="125"/>
      <c r="C215" s="125"/>
      <c r="D215" s="125"/>
      <c r="E215" s="125"/>
      <c r="F215" s="125"/>
      <c r="G215" s="125"/>
      <c r="H215" s="125"/>
      <c r="I215" s="125"/>
      <c r="J215" s="125"/>
      <c r="K215" s="125"/>
      <c r="L215" s="125"/>
      <c r="M215" s="125"/>
      <c r="N215" s="125"/>
      <c r="O215" s="125"/>
      <c r="P215" s="125"/>
      <c r="Q215" s="125"/>
      <c r="R215" s="125"/>
    </row>
    <row r="216" spans="1:18" ht="15.75" customHeight="1">
      <c r="A216" s="125"/>
      <c r="B216" s="125"/>
      <c r="C216" s="125"/>
      <c r="D216" s="125"/>
      <c r="E216" s="125"/>
      <c r="F216" s="125"/>
      <c r="G216" s="125"/>
      <c r="H216" s="125"/>
      <c r="I216" s="125"/>
      <c r="J216" s="125"/>
      <c r="K216" s="125"/>
      <c r="L216" s="125"/>
      <c r="M216" s="125"/>
      <c r="N216" s="125"/>
      <c r="O216" s="125"/>
      <c r="P216" s="125"/>
      <c r="Q216" s="125"/>
      <c r="R216" s="125"/>
    </row>
    <row r="217" spans="1:18" ht="15.75" customHeight="1">
      <c r="A217" s="125"/>
      <c r="B217" s="125"/>
      <c r="C217" s="125"/>
      <c r="D217" s="125"/>
      <c r="E217" s="125"/>
      <c r="F217" s="125"/>
      <c r="G217" s="125"/>
      <c r="H217" s="125"/>
      <c r="I217" s="125"/>
      <c r="J217" s="125"/>
      <c r="K217" s="125"/>
      <c r="L217" s="125"/>
      <c r="M217" s="125"/>
      <c r="N217" s="125"/>
      <c r="O217" s="125"/>
      <c r="P217" s="125"/>
      <c r="Q217" s="125"/>
      <c r="R217" s="125"/>
    </row>
    <row r="218" spans="1:18" ht="15.75" customHeight="1">
      <c r="A218" s="125"/>
      <c r="B218" s="125"/>
      <c r="C218" s="125"/>
      <c r="D218" s="125"/>
      <c r="E218" s="125"/>
      <c r="F218" s="125"/>
      <c r="G218" s="125"/>
      <c r="H218" s="125"/>
      <c r="I218" s="125"/>
      <c r="J218" s="125"/>
      <c r="K218" s="125"/>
      <c r="L218" s="125"/>
      <c r="M218" s="125"/>
      <c r="N218" s="125"/>
      <c r="O218" s="125"/>
      <c r="P218" s="125"/>
      <c r="Q218" s="125"/>
      <c r="R218" s="125"/>
    </row>
    <row r="219" spans="1:18" ht="15.75" customHeight="1">
      <c r="A219" s="125"/>
      <c r="B219" s="125"/>
      <c r="C219" s="125"/>
      <c r="D219" s="125"/>
      <c r="E219" s="125"/>
      <c r="F219" s="125"/>
      <c r="G219" s="125"/>
      <c r="H219" s="125"/>
      <c r="I219" s="125"/>
      <c r="J219" s="125"/>
      <c r="K219" s="125"/>
      <c r="L219" s="125"/>
      <c r="M219" s="125"/>
      <c r="N219" s="125"/>
      <c r="O219" s="125"/>
      <c r="P219" s="125"/>
      <c r="Q219" s="125"/>
      <c r="R219" s="125"/>
    </row>
    <row r="220" spans="1:18" ht="15.75" customHeight="1">
      <c r="A220" s="125"/>
      <c r="B220" s="125"/>
      <c r="C220" s="125"/>
      <c r="D220" s="125"/>
      <c r="E220" s="125"/>
      <c r="F220" s="125"/>
      <c r="G220" s="125"/>
      <c r="H220" s="125"/>
      <c r="I220" s="125"/>
      <c r="J220" s="125"/>
      <c r="K220" s="125"/>
      <c r="L220" s="125"/>
      <c r="M220" s="125"/>
      <c r="N220" s="125"/>
      <c r="O220" s="125"/>
      <c r="P220" s="125"/>
      <c r="Q220" s="125"/>
      <c r="R220" s="125"/>
    </row>
    <row r="221" spans="1:18" ht="15.75" customHeight="1">
      <c r="A221" s="125"/>
      <c r="B221" s="125"/>
      <c r="C221" s="125"/>
      <c r="D221" s="125"/>
      <c r="E221" s="125"/>
      <c r="F221" s="125"/>
      <c r="G221" s="125"/>
      <c r="H221" s="125"/>
      <c r="I221" s="125"/>
      <c r="J221" s="125"/>
      <c r="K221" s="125"/>
      <c r="L221" s="125"/>
      <c r="M221" s="125"/>
      <c r="N221" s="125"/>
      <c r="O221" s="125"/>
      <c r="P221" s="125"/>
      <c r="Q221" s="125"/>
      <c r="R221" s="125"/>
    </row>
    <row r="222" spans="1:18" ht="15.75" customHeight="1">
      <c r="A222" s="125"/>
      <c r="B222" s="125"/>
      <c r="C222" s="125"/>
      <c r="D222" s="125"/>
      <c r="E222" s="125"/>
      <c r="F222" s="125"/>
      <c r="G222" s="125"/>
      <c r="H222" s="125"/>
      <c r="I222" s="125"/>
      <c r="J222" s="125"/>
      <c r="K222" s="125"/>
      <c r="L222" s="125"/>
      <c r="M222" s="125"/>
      <c r="N222" s="125"/>
      <c r="O222" s="125"/>
      <c r="P222" s="125"/>
      <c r="Q222" s="125"/>
      <c r="R222" s="125"/>
    </row>
    <row r="223" spans="1:18" ht="15.75" customHeight="1">
      <c r="A223" s="125"/>
      <c r="B223" s="125"/>
      <c r="C223" s="125"/>
      <c r="D223" s="125"/>
      <c r="E223" s="125"/>
      <c r="F223" s="125"/>
      <c r="G223" s="125"/>
      <c r="H223" s="125"/>
      <c r="I223" s="125"/>
      <c r="J223" s="125"/>
      <c r="K223" s="125"/>
      <c r="L223" s="125"/>
      <c r="M223" s="125"/>
      <c r="N223" s="125"/>
      <c r="O223" s="125"/>
      <c r="P223" s="125"/>
      <c r="Q223" s="125"/>
      <c r="R223" s="125"/>
    </row>
    <row r="224" spans="1:18" ht="15.75" customHeight="1">
      <c r="A224" s="125"/>
      <c r="B224" s="125"/>
      <c r="C224" s="125"/>
      <c r="D224" s="125"/>
      <c r="E224" s="125"/>
      <c r="F224" s="125"/>
      <c r="G224" s="125"/>
      <c r="H224" s="125"/>
      <c r="I224" s="125"/>
      <c r="J224" s="125"/>
      <c r="K224" s="125"/>
      <c r="L224" s="125"/>
      <c r="M224" s="125"/>
      <c r="N224" s="125"/>
      <c r="O224" s="125"/>
      <c r="P224" s="125"/>
      <c r="Q224" s="125"/>
      <c r="R224" s="125"/>
    </row>
    <row r="225" spans="1:18" ht="15.75" customHeight="1">
      <c r="A225" s="125"/>
      <c r="B225" s="125"/>
      <c r="C225" s="125"/>
      <c r="D225" s="125"/>
      <c r="E225" s="125"/>
      <c r="F225" s="125"/>
      <c r="G225" s="125"/>
      <c r="H225" s="125"/>
      <c r="I225" s="125"/>
      <c r="J225" s="125"/>
      <c r="K225" s="125"/>
      <c r="L225" s="125"/>
      <c r="M225" s="125"/>
      <c r="N225" s="125"/>
      <c r="O225" s="125"/>
      <c r="P225" s="125"/>
      <c r="Q225" s="125"/>
      <c r="R225" s="125"/>
    </row>
    <row r="226" spans="1:18" ht="15.75" customHeight="1">
      <c r="A226" s="125"/>
      <c r="B226" s="125"/>
      <c r="C226" s="125"/>
      <c r="D226" s="125"/>
      <c r="E226" s="125"/>
      <c r="F226" s="125"/>
      <c r="G226" s="125"/>
      <c r="H226" s="125"/>
      <c r="I226" s="125"/>
      <c r="J226" s="125"/>
      <c r="K226" s="125"/>
      <c r="L226" s="125"/>
      <c r="M226" s="125"/>
      <c r="N226" s="125"/>
      <c r="O226" s="125"/>
      <c r="P226" s="125"/>
      <c r="Q226" s="125"/>
      <c r="R226" s="125"/>
    </row>
    <row r="227" spans="1:18" ht="15.75" customHeight="1">
      <c r="A227" s="125"/>
      <c r="B227" s="125"/>
      <c r="C227" s="125"/>
      <c r="D227" s="125"/>
      <c r="E227" s="125"/>
      <c r="F227" s="125"/>
      <c r="G227" s="125"/>
      <c r="H227" s="125"/>
      <c r="I227" s="125"/>
      <c r="J227" s="125"/>
      <c r="K227" s="125"/>
      <c r="L227" s="125"/>
      <c r="M227" s="125"/>
      <c r="N227" s="125"/>
      <c r="O227" s="125"/>
      <c r="P227" s="125"/>
      <c r="Q227" s="125"/>
      <c r="R227" s="125"/>
    </row>
    <row r="228" spans="1:18" ht="15.75" customHeight="1">
      <c r="A228" s="125"/>
      <c r="B228" s="125"/>
      <c r="C228" s="125"/>
      <c r="D228" s="125"/>
      <c r="E228" s="125"/>
      <c r="F228" s="125"/>
      <c r="G228" s="125"/>
      <c r="H228" s="125"/>
      <c r="I228" s="125"/>
      <c r="J228" s="125"/>
      <c r="K228" s="125"/>
      <c r="L228" s="125"/>
      <c r="M228" s="125"/>
      <c r="N228" s="125"/>
      <c r="O228" s="125"/>
      <c r="P228" s="125"/>
      <c r="Q228" s="125"/>
      <c r="R228" s="125"/>
    </row>
    <row r="229" spans="1:18" ht="15.75" customHeight="1">
      <c r="A229" s="125"/>
      <c r="B229" s="125"/>
      <c r="C229" s="125"/>
      <c r="D229" s="125"/>
      <c r="E229" s="125"/>
      <c r="F229" s="125"/>
      <c r="G229" s="125"/>
      <c r="H229" s="125"/>
      <c r="I229" s="125"/>
      <c r="J229" s="125"/>
      <c r="K229" s="125"/>
      <c r="L229" s="125"/>
      <c r="M229" s="125"/>
      <c r="N229" s="125"/>
      <c r="O229" s="125"/>
      <c r="P229" s="125"/>
      <c r="Q229" s="125"/>
      <c r="R229" s="125"/>
    </row>
    <row r="230" spans="1:18" ht="15.75" customHeight="1">
      <c r="A230" s="125"/>
      <c r="B230" s="125"/>
      <c r="C230" s="125"/>
      <c r="D230" s="125"/>
      <c r="E230" s="125"/>
      <c r="F230" s="125"/>
      <c r="G230" s="125"/>
      <c r="H230" s="125"/>
      <c r="I230" s="125"/>
      <c r="J230" s="125"/>
      <c r="K230" s="125"/>
      <c r="L230" s="125"/>
      <c r="M230" s="125"/>
      <c r="N230" s="125"/>
      <c r="O230" s="125"/>
      <c r="P230" s="125"/>
      <c r="Q230" s="125"/>
      <c r="R230" s="125"/>
    </row>
    <row r="231" spans="1:18" ht="15.75" customHeight="1">
      <c r="A231" s="125"/>
      <c r="B231" s="125"/>
      <c r="C231" s="125"/>
      <c r="D231" s="125"/>
      <c r="E231" s="125"/>
      <c r="F231" s="125"/>
      <c r="G231" s="125"/>
      <c r="H231" s="125"/>
      <c r="I231" s="125"/>
      <c r="J231" s="125"/>
      <c r="K231" s="125"/>
      <c r="L231" s="125"/>
      <c r="M231" s="125"/>
      <c r="N231" s="125"/>
      <c r="O231" s="125"/>
      <c r="P231" s="125"/>
      <c r="Q231" s="125"/>
      <c r="R231" s="125"/>
    </row>
    <row r="232" spans="1:18" ht="15.75" customHeight="1">
      <c r="A232" s="125"/>
      <c r="B232" s="125"/>
      <c r="C232" s="125"/>
      <c r="D232" s="125"/>
      <c r="E232" s="125"/>
      <c r="F232" s="125"/>
      <c r="G232" s="125"/>
      <c r="H232" s="125"/>
      <c r="I232" s="125"/>
      <c r="J232" s="125"/>
      <c r="K232" s="125"/>
      <c r="L232" s="125"/>
      <c r="M232" s="125"/>
      <c r="N232" s="125"/>
      <c r="O232" s="125"/>
      <c r="P232" s="125"/>
      <c r="Q232" s="125"/>
      <c r="R232" s="125"/>
    </row>
    <row r="233" spans="1:18" ht="15.75" customHeight="1">
      <c r="A233" s="125"/>
      <c r="B233" s="125"/>
      <c r="C233" s="125"/>
      <c r="D233" s="125"/>
      <c r="E233" s="125"/>
      <c r="F233" s="125"/>
      <c r="G233" s="125"/>
      <c r="H233" s="125"/>
      <c r="I233" s="125"/>
      <c r="J233" s="125"/>
      <c r="K233" s="125"/>
      <c r="L233" s="125"/>
      <c r="M233" s="125"/>
      <c r="N233" s="125"/>
      <c r="O233" s="125"/>
      <c r="P233" s="125"/>
      <c r="Q233" s="125"/>
      <c r="R233" s="125"/>
    </row>
    <row r="234" spans="1:18" ht="15.75" customHeight="1">
      <c r="A234" s="125"/>
      <c r="B234" s="125"/>
      <c r="C234" s="125"/>
      <c r="D234" s="125"/>
      <c r="E234" s="125"/>
      <c r="F234" s="125"/>
      <c r="G234" s="125"/>
      <c r="H234" s="125"/>
      <c r="I234" s="125"/>
      <c r="J234" s="125"/>
      <c r="K234" s="125"/>
      <c r="L234" s="125"/>
      <c r="M234" s="125"/>
      <c r="N234" s="125"/>
      <c r="O234" s="125"/>
      <c r="P234" s="125"/>
      <c r="Q234" s="125"/>
      <c r="R234" s="125"/>
    </row>
    <row r="235" spans="1:18" ht="15.75" customHeight="1">
      <c r="A235" s="125"/>
      <c r="B235" s="125"/>
      <c r="C235" s="125"/>
      <c r="D235" s="125"/>
      <c r="E235" s="125"/>
      <c r="F235" s="125"/>
      <c r="G235" s="125"/>
      <c r="H235" s="125"/>
      <c r="I235" s="125"/>
      <c r="J235" s="125"/>
      <c r="K235" s="125"/>
      <c r="L235" s="125"/>
      <c r="M235" s="125"/>
      <c r="N235" s="125"/>
      <c r="O235" s="125"/>
      <c r="P235" s="125"/>
      <c r="Q235" s="125"/>
      <c r="R235" s="125"/>
    </row>
    <row r="236" spans="1:18" ht="15.75" customHeight="1">
      <c r="A236" s="125"/>
      <c r="B236" s="125"/>
      <c r="C236" s="125"/>
      <c r="D236" s="125"/>
      <c r="E236" s="125"/>
      <c r="F236" s="125"/>
      <c r="G236" s="125"/>
      <c r="H236" s="125"/>
      <c r="I236" s="125"/>
      <c r="J236" s="125"/>
      <c r="K236" s="125"/>
      <c r="L236" s="125"/>
      <c r="M236" s="125"/>
      <c r="N236" s="125"/>
      <c r="O236" s="125"/>
      <c r="P236" s="125"/>
      <c r="Q236" s="125"/>
      <c r="R236" s="125"/>
    </row>
    <row r="237" spans="1:18" ht="15.75" customHeight="1">
      <c r="A237" s="125"/>
      <c r="B237" s="125"/>
      <c r="C237" s="125"/>
      <c r="D237" s="125"/>
      <c r="E237" s="125"/>
      <c r="F237" s="125"/>
      <c r="G237" s="125"/>
      <c r="H237" s="125"/>
      <c r="I237" s="125"/>
      <c r="J237" s="125"/>
      <c r="K237" s="125"/>
      <c r="L237" s="125"/>
      <c r="M237" s="125"/>
      <c r="N237" s="125"/>
      <c r="O237" s="125"/>
      <c r="P237" s="125"/>
      <c r="Q237" s="125"/>
      <c r="R237" s="125"/>
    </row>
    <row r="238" spans="1:18" ht="15.75" customHeight="1">
      <c r="A238" s="125"/>
      <c r="B238" s="125"/>
      <c r="C238" s="125"/>
      <c r="D238" s="125"/>
      <c r="E238" s="125"/>
      <c r="F238" s="125"/>
      <c r="G238" s="125"/>
      <c r="H238" s="125"/>
      <c r="I238" s="125"/>
      <c r="J238" s="125"/>
      <c r="K238" s="125"/>
      <c r="L238" s="125"/>
      <c r="M238" s="125"/>
      <c r="N238" s="125"/>
      <c r="O238" s="125"/>
      <c r="P238" s="125"/>
      <c r="Q238" s="125"/>
      <c r="R238" s="125"/>
    </row>
    <row r="239" spans="1:18" ht="15.75" customHeight="1">
      <c r="A239" s="125"/>
      <c r="B239" s="125"/>
      <c r="C239" s="125"/>
      <c r="D239" s="125"/>
      <c r="E239" s="125"/>
      <c r="F239" s="125"/>
      <c r="G239" s="125"/>
      <c r="H239" s="125"/>
      <c r="I239" s="125"/>
      <c r="J239" s="125"/>
      <c r="K239" s="125"/>
      <c r="L239" s="125"/>
      <c r="M239" s="125"/>
      <c r="N239" s="125"/>
      <c r="O239" s="125"/>
      <c r="P239" s="125"/>
      <c r="Q239" s="125"/>
      <c r="R239" s="125"/>
    </row>
    <row r="240" spans="1:18" ht="15.75" customHeight="1">
      <c r="A240" s="125"/>
      <c r="B240" s="125"/>
      <c r="C240" s="125"/>
      <c r="D240" s="125"/>
      <c r="E240" s="125"/>
      <c r="F240" s="125"/>
      <c r="G240" s="125"/>
      <c r="H240" s="125"/>
      <c r="I240" s="125"/>
      <c r="J240" s="125"/>
      <c r="K240" s="125"/>
      <c r="L240" s="125"/>
      <c r="M240" s="125"/>
      <c r="N240" s="125"/>
      <c r="O240" s="125"/>
      <c r="P240" s="125"/>
      <c r="Q240" s="125"/>
      <c r="R240" s="125"/>
    </row>
    <row r="241" spans="1:18" ht="15.75" customHeight="1">
      <c r="A241" s="125"/>
      <c r="B241" s="125"/>
      <c r="C241" s="125"/>
      <c r="D241" s="125"/>
      <c r="E241" s="125"/>
      <c r="F241" s="125"/>
      <c r="G241" s="125"/>
      <c r="H241" s="125"/>
      <c r="I241" s="125"/>
      <c r="J241" s="125"/>
      <c r="K241" s="125"/>
      <c r="L241" s="125"/>
      <c r="M241" s="125"/>
      <c r="N241" s="125"/>
      <c r="O241" s="125"/>
      <c r="P241" s="125"/>
      <c r="Q241" s="125"/>
      <c r="R241" s="125"/>
    </row>
    <row r="242" spans="1:18" ht="15.75" customHeight="1">
      <c r="A242" s="125"/>
      <c r="B242" s="125"/>
      <c r="C242" s="125"/>
      <c r="D242" s="125"/>
      <c r="E242" s="125"/>
      <c r="F242" s="125"/>
      <c r="G242" s="125"/>
      <c r="H242" s="125"/>
      <c r="I242" s="125"/>
      <c r="J242" s="125"/>
      <c r="K242" s="125"/>
      <c r="L242" s="125"/>
      <c r="M242" s="125"/>
      <c r="N242" s="125"/>
      <c r="O242" s="125"/>
      <c r="P242" s="125"/>
      <c r="Q242" s="125"/>
      <c r="R242" s="125"/>
    </row>
    <row r="243" spans="1:18" ht="15.75" customHeight="1">
      <c r="A243" s="125"/>
      <c r="B243" s="125"/>
      <c r="C243" s="125"/>
      <c r="D243" s="125"/>
      <c r="E243" s="125"/>
      <c r="F243" s="125"/>
      <c r="G243" s="125"/>
      <c r="H243" s="125"/>
      <c r="I243" s="125"/>
      <c r="J243" s="125"/>
      <c r="K243" s="125"/>
      <c r="L243" s="125"/>
      <c r="M243" s="125"/>
      <c r="N243" s="125"/>
      <c r="O243" s="125"/>
      <c r="P243" s="125"/>
      <c r="Q243" s="125"/>
      <c r="R243" s="125"/>
    </row>
    <row r="244" spans="1:18" ht="15.75" customHeight="1">
      <c r="A244" s="125"/>
      <c r="B244" s="125"/>
      <c r="C244" s="125"/>
      <c r="D244" s="125"/>
      <c r="E244" s="125"/>
      <c r="F244" s="125"/>
      <c r="G244" s="125"/>
      <c r="H244" s="125"/>
      <c r="I244" s="125"/>
      <c r="J244" s="125"/>
      <c r="K244" s="125"/>
      <c r="L244" s="125"/>
      <c r="M244" s="125"/>
      <c r="N244" s="125"/>
      <c r="O244" s="125"/>
      <c r="P244" s="125"/>
      <c r="Q244" s="125"/>
      <c r="R244" s="125"/>
    </row>
    <row r="245" spans="1:18" ht="15.75" customHeight="1">
      <c r="A245" s="125"/>
      <c r="B245" s="125"/>
      <c r="C245" s="125"/>
      <c r="D245" s="125"/>
      <c r="E245" s="125"/>
      <c r="F245" s="125"/>
      <c r="G245" s="125"/>
      <c r="H245" s="125"/>
      <c r="I245" s="125"/>
      <c r="J245" s="125"/>
      <c r="K245" s="125"/>
      <c r="L245" s="125"/>
      <c r="M245" s="125"/>
      <c r="N245" s="125"/>
      <c r="O245" s="125"/>
      <c r="P245" s="125"/>
      <c r="Q245" s="125"/>
      <c r="R245" s="125"/>
    </row>
    <row r="246" spans="1:18" ht="15.75" customHeight="1">
      <c r="A246" s="125"/>
      <c r="B246" s="125"/>
      <c r="C246" s="125"/>
      <c r="D246" s="125"/>
      <c r="E246" s="125"/>
      <c r="F246" s="125"/>
      <c r="G246" s="125"/>
      <c r="H246" s="125"/>
      <c r="I246" s="125"/>
      <c r="J246" s="125"/>
      <c r="K246" s="125"/>
      <c r="L246" s="125"/>
      <c r="M246" s="125"/>
      <c r="N246" s="125"/>
      <c r="O246" s="125"/>
      <c r="P246" s="125"/>
      <c r="Q246" s="125"/>
      <c r="R246" s="125"/>
    </row>
    <row r="247" spans="1:18" ht="15.75" customHeight="1">
      <c r="A247" s="125"/>
      <c r="B247" s="125"/>
      <c r="C247" s="125"/>
      <c r="D247" s="125"/>
      <c r="E247" s="125"/>
      <c r="F247" s="125"/>
      <c r="G247" s="125"/>
      <c r="H247" s="125"/>
      <c r="I247" s="125"/>
      <c r="J247" s="125"/>
      <c r="K247" s="125"/>
      <c r="L247" s="125"/>
      <c r="M247" s="125"/>
      <c r="N247" s="125"/>
      <c r="O247" s="125"/>
      <c r="P247" s="125"/>
      <c r="Q247" s="125"/>
      <c r="R247" s="125"/>
    </row>
    <row r="248" spans="1:18" ht="15.75" customHeight="1">
      <c r="A248" s="125"/>
      <c r="B248" s="125"/>
      <c r="C248" s="125"/>
      <c r="D248" s="125"/>
      <c r="E248" s="125"/>
      <c r="F248" s="125"/>
      <c r="G248" s="125"/>
      <c r="H248" s="125"/>
      <c r="I248" s="125"/>
      <c r="J248" s="125"/>
      <c r="K248" s="125"/>
      <c r="L248" s="125"/>
      <c r="M248" s="125"/>
      <c r="N248" s="125"/>
      <c r="O248" s="125"/>
      <c r="P248" s="125"/>
      <c r="Q248" s="125"/>
      <c r="R248" s="125"/>
    </row>
    <row r="249" spans="1:18" ht="15.75" customHeight="1">
      <c r="A249" s="125"/>
      <c r="B249" s="125"/>
      <c r="C249" s="125"/>
      <c r="D249" s="125"/>
      <c r="E249" s="125"/>
      <c r="F249" s="125"/>
      <c r="G249" s="125"/>
      <c r="H249" s="125"/>
      <c r="I249" s="125"/>
      <c r="J249" s="125"/>
      <c r="K249" s="125"/>
      <c r="L249" s="125"/>
      <c r="M249" s="125"/>
      <c r="N249" s="125"/>
      <c r="O249" s="125"/>
      <c r="P249" s="125"/>
      <c r="Q249" s="125"/>
      <c r="R249" s="125"/>
    </row>
    <row r="250" spans="1:18" ht="15.75" customHeight="1">
      <c r="A250" s="125"/>
      <c r="B250" s="125"/>
      <c r="C250" s="125"/>
      <c r="D250" s="125"/>
      <c r="E250" s="125"/>
      <c r="F250" s="125"/>
      <c r="G250" s="125"/>
      <c r="H250" s="125"/>
      <c r="I250" s="125"/>
      <c r="J250" s="125"/>
      <c r="K250" s="125"/>
      <c r="L250" s="125"/>
      <c r="M250" s="125"/>
      <c r="N250" s="125"/>
      <c r="O250" s="125"/>
      <c r="P250" s="125"/>
      <c r="Q250" s="125"/>
      <c r="R250" s="125"/>
    </row>
    <row r="251" spans="1:18" ht="15.75" customHeight="1">
      <c r="A251" s="125"/>
      <c r="B251" s="125"/>
      <c r="C251" s="125"/>
      <c r="D251" s="125"/>
      <c r="E251" s="125"/>
      <c r="F251" s="125"/>
      <c r="G251" s="125"/>
      <c r="H251" s="125"/>
      <c r="I251" s="125"/>
      <c r="J251" s="125"/>
      <c r="K251" s="125"/>
      <c r="L251" s="125"/>
      <c r="M251" s="125"/>
      <c r="N251" s="125"/>
      <c r="O251" s="125"/>
      <c r="P251" s="125"/>
      <c r="Q251" s="125"/>
      <c r="R251" s="125"/>
    </row>
    <row r="252" spans="1:18" ht="15.75" customHeight="1">
      <c r="A252" s="125"/>
      <c r="B252" s="125"/>
      <c r="C252" s="125"/>
      <c r="D252" s="125"/>
      <c r="E252" s="125"/>
      <c r="F252" s="125"/>
      <c r="G252" s="125"/>
      <c r="H252" s="125"/>
      <c r="I252" s="125"/>
      <c r="J252" s="125"/>
      <c r="K252" s="125"/>
      <c r="L252" s="125"/>
      <c r="M252" s="125"/>
      <c r="N252" s="125"/>
      <c r="O252" s="125"/>
      <c r="P252" s="125"/>
      <c r="Q252" s="125"/>
      <c r="R252" s="125"/>
    </row>
    <row r="253" spans="1:18" ht="15.75" customHeight="1">
      <c r="A253" s="125"/>
      <c r="B253" s="125"/>
      <c r="C253" s="125"/>
      <c r="D253" s="125"/>
      <c r="E253" s="125"/>
      <c r="F253" s="125"/>
      <c r="G253" s="125"/>
      <c r="H253" s="125"/>
      <c r="I253" s="125"/>
      <c r="J253" s="125"/>
      <c r="K253" s="125"/>
      <c r="L253" s="125"/>
      <c r="M253" s="125"/>
      <c r="N253" s="125"/>
      <c r="O253" s="125"/>
      <c r="P253" s="125"/>
      <c r="Q253" s="125"/>
      <c r="R253" s="125"/>
    </row>
    <row r="254" spans="1:18" ht="15.75" customHeight="1">
      <c r="A254" s="125"/>
      <c r="B254" s="125"/>
      <c r="C254" s="125"/>
      <c r="D254" s="125"/>
      <c r="E254" s="125"/>
      <c r="F254" s="125"/>
      <c r="G254" s="125"/>
      <c r="H254" s="125"/>
      <c r="I254" s="125"/>
      <c r="J254" s="125"/>
      <c r="K254" s="125"/>
      <c r="L254" s="125"/>
      <c r="M254" s="125"/>
      <c r="N254" s="125"/>
      <c r="O254" s="125"/>
      <c r="P254" s="125"/>
      <c r="Q254" s="125"/>
      <c r="R254" s="125"/>
    </row>
    <row r="255" spans="1:18" ht="15.75" customHeight="1">
      <c r="A255" s="125"/>
      <c r="B255" s="125"/>
      <c r="C255" s="125"/>
      <c r="D255" s="125"/>
      <c r="E255" s="125"/>
      <c r="F255" s="125"/>
      <c r="G255" s="125"/>
      <c r="H255" s="125"/>
      <c r="I255" s="125"/>
      <c r="J255" s="125"/>
      <c r="K255" s="125"/>
      <c r="L255" s="125"/>
      <c r="M255" s="125"/>
      <c r="N255" s="125"/>
      <c r="O255" s="125"/>
      <c r="P255" s="125"/>
      <c r="Q255" s="125"/>
      <c r="R255" s="125"/>
    </row>
    <row r="256" spans="1:18" ht="15.75" customHeight="1">
      <c r="A256" s="125"/>
      <c r="B256" s="125"/>
      <c r="C256" s="125"/>
      <c r="D256" s="125"/>
      <c r="E256" s="125"/>
      <c r="F256" s="125"/>
      <c r="G256" s="125"/>
      <c r="H256" s="125"/>
      <c r="I256" s="125"/>
      <c r="J256" s="125"/>
      <c r="K256" s="125"/>
      <c r="L256" s="125"/>
      <c r="M256" s="125"/>
      <c r="N256" s="125"/>
      <c r="O256" s="125"/>
      <c r="P256" s="125"/>
      <c r="Q256" s="125"/>
      <c r="R256" s="125"/>
    </row>
    <row r="257" spans="1:18" ht="15.75" customHeight="1">
      <c r="A257" s="125"/>
      <c r="B257" s="125"/>
      <c r="C257" s="125"/>
      <c r="D257" s="125"/>
      <c r="E257" s="125"/>
      <c r="F257" s="125"/>
      <c r="G257" s="125"/>
      <c r="H257" s="125"/>
      <c r="I257" s="125"/>
      <c r="J257" s="125"/>
      <c r="K257" s="125"/>
      <c r="L257" s="125"/>
      <c r="M257" s="125"/>
      <c r="N257" s="125"/>
      <c r="O257" s="125"/>
      <c r="P257" s="125"/>
      <c r="Q257" s="125"/>
      <c r="R257" s="125"/>
    </row>
    <row r="258" spans="1:18" ht="15.75" customHeight="1">
      <c r="A258" s="125"/>
      <c r="B258" s="125"/>
      <c r="C258" s="125"/>
      <c r="D258" s="125"/>
      <c r="E258" s="125"/>
      <c r="F258" s="125"/>
      <c r="G258" s="125"/>
      <c r="H258" s="125"/>
      <c r="I258" s="125"/>
      <c r="J258" s="125"/>
      <c r="K258" s="125"/>
      <c r="L258" s="125"/>
      <c r="M258" s="125"/>
      <c r="N258" s="125"/>
      <c r="O258" s="125"/>
      <c r="P258" s="125"/>
      <c r="Q258" s="125"/>
      <c r="R258" s="125"/>
    </row>
    <row r="259" spans="1:18" ht="15.75" customHeight="1">
      <c r="A259" s="125"/>
      <c r="B259" s="125"/>
      <c r="C259" s="125"/>
      <c r="D259" s="125"/>
      <c r="E259" s="125"/>
      <c r="F259" s="125"/>
      <c r="G259" s="125"/>
      <c r="H259" s="125"/>
      <c r="I259" s="125"/>
      <c r="J259" s="125"/>
      <c r="K259" s="125"/>
      <c r="L259" s="125"/>
      <c r="M259" s="125"/>
      <c r="N259" s="125"/>
      <c r="O259" s="125"/>
      <c r="P259" s="125"/>
      <c r="Q259" s="125"/>
      <c r="R259" s="125"/>
    </row>
    <row r="260" spans="1:18" ht="15.75" customHeight="1">
      <c r="A260" s="125"/>
      <c r="B260" s="125"/>
      <c r="C260" s="125"/>
      <c r="D260" s="125"/>
      <c r="E260" s="125"/>
      <c r="F260" s="125"/>
      <c r="G260" s="125"/>
      <c r="H260" s="125"/>
      <c r="I260" s="125"/>
      <c r="J260" s="125"/>
      <c r="K260" s="125"/>
      <c r="L260" s="125"/>
      <c r="M260" s="125"/>
      <c r="N260" s="125"/>
      <c r="O260" s="125"/>
      <c r="P260" s="125"/>
      <c r="Q260" s="125"/>
      <c r="R260" s="125"/>
    </row>
    <row r="261" spans="1:18" ht="15.75" customHeight="1">
      <c r="A261" s="125"/>
      <c r="B261" s="125"/>
      <c r="C261" s="125"/>
      <c r="D261" s="125"/>
      <c r="E261" s="125"/>
      <c r="F261" s="125"/>
      <c r="G261" s="125"/>
      <c r="H261" s="125"/>
      <c r="I261" s="125"/>
      <c r="J261" s="125"/>
      <c r="K261" s="125"/>
      <c r="L261" s="125"/>
      <c r="M261" s="125"/>
      <c r="N261" s="125"/>
      <c r="O261" s="125"/>
      <c r="P261" s="125"/>
      <c r="Q261" s="125"/>
      <c r="R261" s="125"/>
    </row>
    <row r="262" spans="1:18" ht="15.75" customHeight="1">
      <c r="A262" s="125"/>
      <c r="B262" s="125"/>
      <c r="C262" s="125"/>
      <c r="D262" s="125"/>
      <c r="E262" s="125"/>
      <c r="F262" s="125"/>
      <c r="G262" s="125"/>
      <c r="H262" s="125"/>
      <c r="I262" s="125"/>
      <c r="J262" s="125"/>
      <c r="K262" s="125"/>
      <c r="L262" s="125"/>
      <c r="M262" s="125"/>
      <c r="N262" s="125"/>
      <c r="O262" s="125"/>
      <c r="P262" s="125"/>
      <c r="Q262" s="125"/>
      <c r="R262" s="125"/>
    </row>
    <row r="263" spans="1:18" ht="15.75" customHeight="1">
      <c r="A263" s="125"/>
      <c r="B263" s="125"/>
      <c r="C263" s="125"/>
      <c r="D263" s="125"/>
      <c r="E263" s="125"/>
      <c r="F263" s="125"/>
      <c r="G263" s="125"/>
      <c r="H263" s="125"/>
      <c r="I263" s="125"/>
      <c r="J263" s="125"/>
      <c r="K263" s="125"/>
      <c r="L263" s="125"/>
      <c r="M263" s="125"/>
      <c r="N263" s="125"/>
      <c r="O263" s="125"/>
      <c r="P263" s="125"/>
      <c r="Q263" s="125"/>
      <c r="R263" s="125"/>
    </row>
    <row r="264" spans="1:18" ht="15.75" customHeight="1">
      <c r="A264" s="125"/>
      <c r="B264" s="125"/>
      <c r="C264" s="125"/>
      <c r="D264" s="125"/>
      <c r="E264" s="125"/>
      <c r="F264" s="125"/>
      <c r="G264" s="125"/>
      <c r="H264" s="125"/>
      <c r="I264" s="125"/>
      <c r="J264" s="125"/>
      <c r="K264" s="125"/>
      <c r="L264" s="125"/>
      <c r="M264" s="125"/>
      <c r="N264" s="125"/>
      <c r="O264" s="125"/>
      <c r="P264" s="125"/>
      <c r="Q264" s="125"/>
      <c r="R264" s="125"/>
    </row>
    <row r="265" spans="1:18" ht="15.75" customHeight="1">
      <c r="A265" s="125"/>
      <c r="B265" s="125"/>
      <c r="C265" s="125"/>
      <c r="D265" s="125"/>
      <c r="E265" s="125"/>
      <c r="F265" s="125"/>
      <c r="G265" s="125"/>
      <c r="H265" s="125"/>
      <c r="I265" s="125"/>
      <c r="J265" s="125"/>
      <c r="K265" s="125"/>
      <c r="L265" s="125"/>
      <c r="M265" s="125"/>
      <c r="N265" s="125"/>
      <c r="O265" s="125"/>
      <c r="P265" s="125"/>
      <c r="Q265" s="125"/>
      <c r="R265" s="125"/>
    </row>
    <row r="266" spans="1:18" ht="15.75" customHeight="1">
      <c r="A266" s="125"/>
      <c r="B266" s="125"/>
      <c r="C266" s="125"/>
      <c r="D266" s="125"/>
      <c r="E266" s="125"/>
      <c r="F266" s="125"/>
      <c r="G266" s="125"/>
      <c r="H266" s="125"/>
      <c r="I266" s="125"/>
      <c r="J266" s="125"/>
      <c r="K266" s="125"/>
      <c r="L266" s="125"/>
      <c r="M266" s="125"/>
      <c r="N266" s="125"/>
      <c r="O266" s="125"/>
      <c r="P266" s="125"/>
      <c r="Q266" s="125"/>
      <c r="R266" s="125"/>
    </row>
    <row r="267" spans="1:18" ht="15.75" customHeight="1">
      <c r="A267" s="125"/>
      <c r="B267" s="125"/>
      <c r="C267" s="125"/>
      <c r="D267" s="125"/>
      <c r="E267" s="125"/>
      <c r="F267" s="125"/>
      <c r="G267" s="125"/>
      <c r="H267" s="125"/>
      <c r="I267" s="125"/>
      <c r="J267" s="125"/>
      <c r="K267" s="125"/>
      <c r="L267" s="125"/>
      <c r="M267" s="125"/>
      <c r="N267" s="125"/>
      <c r="O267" s="125"/>
      <c r="P267" s="125"/>
      <c r="Q267" s="125"/>
      <c r="R267" s="125"/>
    </row>
    <row r="268" spans="1:18" ht="15.75" customHeight="1">
      <c r="A268" s="125"/>
      <c r="B268" s="125"/>
      <c r="C268" s="125"/>
      <c r="D268" s="125"/>
      <c r="E268" s="125"/>
      <c r="F268" s="125"/>
      <c r="G268" s="125"/>
      <c r="H268" s="125"/>
      <c r="I268" s="125"/>
      <c r="J268" s="125"/>
      <c r="K268" s="125"/>
      <c r="L268" s="125"/>
      <c r="M268" s="125"/>
      <c r="N268" s="125"/>
      <c r="O268" s="125"/>
      <c r="P268" s="125"/>
      <c r="Q268" s="125"/>
      <c r="R268" s="125"/>
    </row>
    <row r="269" spans="1:18" ht="15.75" customHeight="1">
      <c r="A269" s="125"/>
      <c r="B269" s="125"/>
      <c r="C269" s="125"/>
      <c r="D269" s="125"/>
      <c r="E269" s="125"/>
      <c r="F269" s="125"/>
      <c r="G269" s="125"/>
      <c r="H269" s="125"/>
      <c r="I269" s="125"/>
      <c r="J269" s="125"/>
      <c r="K269" s="125"/>
      <c r="L269" s="125"/>
      <c r="M269" s="125"/>
      <c r="N269" s="125"/>
      <c r="O269" s="125"/>
      <c r="P269" s="125"/>
      <c r="Q269" s="125"/>
      <c r="R269" s="125"/>
    </row>
    <row r="270" spans="1:18" ht="15.75" customHeight="1">
      <c r="A270" s="125"/>
      <c r="B270" s="125"/>
      <c r="C270" s="125"/>
      <c r="D270" s="125"/>
      <c r="E270" s="125"/>
      <c r="F270" s="125"/>
      <c r="G270" s="125"/>
      <c r="H270" s="125"/>
      <c r="I270" s="125"/>
      <c r="J270" s="125"/>
      <c r="K270" s="125"/>
      <c r="L270" s="125"/>
      <c r="M270" s="125"/>
      <c r="N270" s="125"/>
      <c r="O270" s="125"/>
      <c r="P270" s="125"/>
      <c r="Q270" s="125"/>
      <c r="R270" s="125"/>
    </row>
    <row r="271" spans="1:18" ht="15.75" customHeight="1">
      <c r="A271" s="125"/>
      <c r="B271" s="125"/>
      <c r="C271" s="125"/>
      <c r="D271" s="125"/>
      <c r="E271" s="125"/>
      <c r="F271" s="125"/>
      <c r="G271" s="125"/>
      <c r="H271" s="125"/>
      <c r="I271" s="125"/>
      <c r="J271" s="125"/>
      <c r="K271" s="125"/>
      <c r="L271" s="125"/>
      <c r="M271" s="125"/>
      <c r="N271" s="125"/>
      <c r="O271" s="125"/>
      <c r="P271" s="125"/>
      <c r="Q271" s="125"/>
      <c r="R271" s="125"/>
    </row>
    <row r="272" spans="1:18" ht="15.75" customHeight="1">
      <c r="A272" s="125"/>
      <c r="B272" s="125"/>
      <c r="C272" s="125"/>
      <c r="D272" s="125"/>
      <c r="E272" s="125"/>
      <c r="F272" s="125"/>
      <c r="G272" s="125"/>
      <c r="H272" s="125"/>
      <c r="I272" s="125"/>
      <c r="J272" s="125"/>
      <c r="K272" s="125"/>
      <c r="L272" s="125"/>
      <c r="M272" s="125"/>
      <c r="N272" s="125"/>
      <c r="O272" s="125"/>
      <c r="P272" s="125"/>
      <c r="Q272" s="125"/>
      <c r="R272" s="125"/>
    </row>
    <row r="273" spans="1:18" ht="15.75" customHeight="1">
      <c r="A273" s="125"/>
      <c r="B273" s="125"/>
      <c r="C273" s="125"/>
      <c r="D273" s="125"/>
      <c r="E273" s="125"/>
      <c r="F273" s="125"/>
      <c r="G273" s="125"/>
      <c r="H273" s="125"/>
      <c r="I273" s="125"/>
      <c r="J273" s="125"/>
      <c r="K273" s="125"/>
      <c r="L273" s="125"/>
      <c r="M273" s="125"/>
      <c r="N273" s="125"/>
      <c r="O273" s="125"/>
      <c r="P273" s="125"/>
      <c r="Q273" s="125"/>
      <c r="R273" s="125"/>
    </row>
    <row r="274" spans="1:18" ht="15.75" customHeight="1">
      <c r="A274" s="125"/>
      <c r="B274" s="125"/>
      <c r="C274" s="125"/>
      <c r="D274" s="125"/>
      <c r="E274" s="125"/>
      <c r="F274" s="125"/>
      <c r="G274" s="125"/>
      <c r="H274" s="125"/>
      <c r="I274" s="125"/>
      <c r="J274" s="125"/>
      <c r="K274" s="125"/>
      <c r="L274" s="125"/>
      <c r="M274" s="125"/>
      <c r="N274" s="125"/>
      <c r="O274" s="125"/>
      <c r="P274" s="125"/>
      <c r="Q274" s="125"/>
      <c r="R274" s="125"/>
    </row>
    <row r="275" spans="1:18" ht="15.75" customHeight="1">
      <c r="A275" s="125"/>
      <c r="B275" s="125"/>
      <c r="C275" s="125"/>
      <c r="D275" s="125"/>
      <c r="E275" s="125"/>
      <c r="F275" s="125"/>
      <c r="G275" s="125"/>
      <c r="H275" s="125"/>
      <c r="I275" s="125"/>
      <c r="J275" s="125"/>
      <c r="K275" s="125"/>
      <c r="L275" s="125"/>
      <c r="M275" s="125"/>
      <c r="N275" s="125"/>
      <c r="O275" s="125"/>
      <c r="P275" s="125"/>
      <c r="Q275" s="125"/>
      <c r="R275" s="125"/>
    </row>
    <row r="276" spans="1:18" ht="15.75" customHeight="1">
      <c r="A276" s="125"/>
      <c r="B276" s="125"/>
      <c r="C276" s="125"/>
      <c r="D276" s="125"/>
      <c r="E276" s="125"/>
      <c r="F276" s="125"/>
      <c r="G276" s="125"/>
      <c r="H276" s="125"/>
      <c r="I276" s="125"/>
      <c r="J276" s="125"/>
      <c r="K276" s="125"/>
      <c r="L276" s="125"/>
      <c r="M276" s="125"/>
      <c r="N276" s="125"/>
      <c r="O276" s="125"/>
      <c r="P276" s="125"/>
      <c r="Q276" s="125"/>
      <c r="R276" s="125"/>
    </row>
    <row r="277" spans="1:18" ht="15.75" customHeight="1">
      <c r="A277" s="125"/>
      <c r="B277" s="125"/>
      <c r="C277" s="125"/>
      <c r="D277" s="125"/>
      <c r="E277" s="125"/>
      <c r="F277" s="125"/>
      <c r="G277" s="125"/>
      <c r="H277" s="125"/>
      <c r="I277" s="125"/>
      <c r="J277" s="125"/>
      <c r="K277" s="125"/>
      <c r="L277" s="125"/>
      <c r="M277" s="125"/>
      <c r="N277" s="125"/>
      <c r="O277" s="125"/>
      <c r="P277" s="125"/>
      <c r="Q277" s="125"/>
      <c r="R277" s="125"/>
    </row>
    <row r="278" spans="1:18" ht="15.75" customHeight="1">
      <c r="A278" s="125"/>
      <c r="B278" s="125"/>
      <c r="C278" s="125"/>
      <c r="D278" s="125"/>
      <c r="E278" s="125"/>
      <c r="F278" s="125"/>
      <c r="G278" s="125"/>
      <c r="H278" s="125"/>
      <c r="I278" s="125"/>
      <c r="J278" s="125"/>
      <c r="K278" s="125"/>
      <c r="L278" s="125"/>
      <c r="M278" s="125"/>
      <c r="N278" s="125"/>
      <c r="O278" s="125"/>
      <c r="P278" s="125"/>
      <c r="Q278" s="125"/>
      <c r="R278" s="125"/>
    </row>
    <row r="279" spans="1:18" ht="15.75" customHeight="1">
      <c r="A279" s="125"/>
      <c r="B279" s="125"/>
      <c r="C279" s="125"/>
      <c r="D279" s="125"/>
      <c r="E279" s="125"/>
      <c r="F279" s="125"/>
      <c r="G279" s="125"/>
      <c r="H279" s="125"/>
      <c r="I279" s="125"/>
      <c r="J279" s="125"/>
      <c r="K279" s="125"/>
      <c r="L279" s="125"/>
      <c r="M279" s="125"/>
      <c r="N279" s="125"/>
      <c r="O279" s="125"/>
      <c r="P279" s="125"/>
      <c r="Q279" s="125"/>
      <c r="R279" s="125"/>
    </row>
    <row r="280" spans="1:18" ht="15.75" customHeight="1">
      <c r="A280" s="125"/>
      <c r="B280" s="125"/>
      <c r="C280" s="125"/>
      <c r="D280" s="125"/>
      <c r="E280" s="125"/>
      <c r="F280" s="125"/>
      <c r="G280" s="125"/>
      <c r="H280" s="125"/>
      <c r="I280" s="125"/>
      <c r="J280" s="125"/>
      <c r="K280" s="125"/>
      <c r="L280" s="125"/>
      <c r="M280" s="125"/>
      <c r="N280" s="125"/>
      <c r="O280" s="125"/>
      <c r="P280" s="125"/>
      <c r="Q280" s="125"/>
      <c r="R280" s="125"/>
    </row>
    <row r="281" spans="1:18" ht="15.75" customHeight="1">
      <c r="A281" s="125"/>
      <c r="B281" s="125"/>
      <c r="C281" s="125"/>
      <c r="D281" s="125"/>
      <c r="E281" s="125"/>
      <c r="F281" s="125"/>
      <c r="G281" s="125"/>
      <c r="H281" s="125"/>
      <c r="I281" s="125"/>
      <c r="J281" s="125"/>
      <c r="K281" s="125"/>
      <c r="L281" s="125"/>
      <c r="M281" s="125"/>
      <c r="N281" s="125"/>
      <c r="O281" s="125"/>
      <c r="P281" s="125"/>
      <c r="Q281" s="125"/>
      <c r="R281" s="125"/>
    </row>
    <row r="282" spans="1:18" ht="15.75" customHeight="1">
      <c r="A282" s="125"/>
      <c r="B282" s="125"/>
      <c r="C282" s="125"/>
      <c r="D282" s="125"/>
      <c r="E282" s="125"/>
      <c r="F282" s="125"/>
      <c r="G282" s="125"/>
      <c r="H282" s="125"/>
      <c r="I282" s="125"/>
      <c r="J282" s="125"/>
      <c r="K282" s="125"/>
      <c r="L282" s="125"/>
      <c r="M282" s="125"/>
      <c r="N282" s="125"/>
      <c r="O282" s="125"/>
      <c r="P282" s="125"/>
      <c r="Q282" s="125"/>
      <c r="R282" s="125"/>
    </row>
    <row r="283" spans="1:18" ht="15.75" customHeight="1">
      <c r="A283" s="125"/>
      <c r="B283" s="125"/>
      <c r="C283" s="125"/>
      <c r="D283" s="125"/>
      <c r="E283" s="125"/>
      <c r="F283" s="125"/>
      <c r="G283" s="125"/>
      <c r="H283" s="125"/>
      <c r="I283" s="125"/>
      <c r="J283" s="125"/>
      <c r="K283" s="125"/>
      <c r="L283" s="125"/>
      <c r="M283" s="125"/>
      <c r="N283" s="125"/>
      <c r="O283" s="125"/>
      <c r="P283" s="125"/>
      <c r="Q283" s="125"/>
      <c r="R283" s="125"/>
    </row>
    <row r="284" spans="1:18" ht="15.75" customHeight="1">
      <c r="A284" s="125"/>
      <c r="B284" s="125"/>
      <c r="C284" s="125"/>
      <c r="D284" s="125"/>
      <c r="E284" s="125"/>
      <c r="F284" s="125"/>
      <c r="G284" s="125"/>
      <c r="H284" s="125"/>
      <c r="I284" s="125"/>
      <c r="J284" s="125"/>
      <c r="K284" s="125"/>
      <c r="L284" s="125"/>
      <c r="M284" s="125"/>
      <c r="N284" s="125"/>
      <c r="O284" s="125"/>
      <c r="P284" s="125"/>
      <c r="Q284" s="125"/>
      <c r="R284" s="125"/>
    </row>
    <row r="285" spans="1:18" ht="15.75" customHeight="1">
      <c r="A285" s="125"/>
      <c r="B285" s="125"/>
      <c r="C285" s="125"/>
      <c r="D285" s="125"/>
      <c r="E285" s="125"/>
      <c r="F285" s="125"/>
      <c r="G285" s="125"/>
      <c r="H285" s="125"/>
      <c r="I285" s="125"/>
      <c r="J285" s="125"/>
      <c r="K285" s="125"/>
      <c r="L285" s="125"/>
      <c r="M285" s="125"/>
      <c r="N285" s="125"/>
      <c r="O285" s="125"/>
      <c r="P285" s="125"/>
      <c r="Q285" s="125"/>
      <c r="R285" s="125"/>
    </row>
    <row r="286" spans="1:18" ht="15.75" customHeight="1">
      <c r="A286" s="125"/>
      <c r="B286" s="125"/>
      <c r="C286" s="125"/>
      <c r="D286" s="125"/>
      <c r="E286" s="125"/>
      <c r="F286" s="125"/>
      <c r="G286" s="125"/>
      <c r="H286" s="125"/>
      <c r="I286" s="125"/>
      <c r="J286" s="125"/>
      <c r="K286" s="125"/>
      <c r="L286" s="125"/>
      <c r="M286" s="125"/>
      <c r="N286" s="125"/>
      <c r="O286" s="125"/>
      <c r="P286" s="125"/>
      <c r="Q286" s="125"/>
      <c r="R286" s="125"/>
    </row>
    <row r="287" spans="1:18" ht="15.75" customHeight="1">
      <c r="A287" s="125"/>
      <c r="B287" s="125"/>
      <c r="C287" s="125"/>
      <c r="D287" s="125"/>
      <c r="E287" s="125"/>
      <c r="F287" s="125"/>
      <c r="G287" s="125"/>
      <c r="H287" s="125"/>
      <c r="I287" s="125"/>
      <c r="J287" s="125"/>
      <c r="K287" s="125"/>
      <c r="L287" s="125"/>
      <c r="M287" s="125"/>
      <c r="N287" s="125"/>
      <c r="O287" s="125"/>
      <c r="P287" s="125"/>
      <c r="Q287" s="125"/>
      <c r="R287" s="125"/>
    </row>
    <row r="288" spans="1:18" ht="15.75" customHeight="1">
      <c r="A288" s="125"/>
      <c r="B288" s="125"/>
      <c r="C288" s="125"/>
      <c r="D288" s="125"/>
      <c r="E288" s="125"/>
      <c r="F288" s="125"/>
      <c r="G288" s="125"/>
      <c r="H288" s="125"/>
      <c r="I288" s="125"/>
      <c r="J288" s="125"/>
      <c r="K288" s="125"/>
      <c r="L288" s="125"/>
      <c r="M288" s="125"/>
      <c r="N288" s="125"/>
      <c r="O288" s="125"/>
      <c r="P288" s="125"/>
      <c r="Q288" s="125"/>
      <c r="R288" s="125"/>
    </row>
    <row r="289" spans="1:18" ht="15.75" customHeight="1">
      <c r="A289" s="125"/>
      <c r="B289" s="125"/>
      <c r="C289" s="125"/>
      <c r="D289" s="125"/>
      <c r="E289" s="125"/>
      <c r="F289" s="125"/>
      <c r="G289" s="125"/>
      <c r="H289" s="125"/>
      <c r="I289" s="125"/>
      <c r="J289" s="125"/>
      <c r="K289" s="125"/>
      <c r="L289" s="125"/>
      <c r="M289" s="125"/>
      <c r="N289" s="125"/>
      <c r="O289" s="125"/>
      <c r="P289" s="125"/>
      <c r="Q289" s="125"/>
      <c r="R289" s="125"/>
    </row>
    <row r="290" spans="1:18" ht="15.75" customHeight="1">
      <c r="A290" s="125"/>
      <c r="B290" s="125"/>
      <c r="C290" s="125"/>
      <c r="D290" s="125"/>
      <c r="E290" s="125"/>
      <c r="F290" s="125"/>
      <c r="G290" s="125"/>
      <c r="H290" s="125"/>
      <c r="I290" s="125"/>
      <c r="J290" s="125"/>
      <c r="K290" s="125"/>
      <c r="L290" s="125"/>
      <c r="M290" s="125"/>
      <c r="N290" s="125"/>
      <c r="O290" s="125"/>
      <c r="P290" s="125"/>
      <c r="Q290" s="125"/>
      <c r="R290" s="125"/>
    </row>
    <row r="291" spans="1:18" ht="15.75" customHeight="1">
      <c r="A291" s="125"/>
      <c r="B291" s="125"/>
      <c r="C291" s="125"/>
      <c r="D291" s="125"/>
      <c r="E291" s="125"/>
      <c r="F291" s="125"/>
      <c r="G291" s="125"/>
      <c r="H291" s="125"/>
      <c r="I291" s="125"/>
      <c r="J291" s="125"/>
      <c r="K291" s="125"/>
      <c r="L291" s="125"/>
      <c r="M291" s="125"/>
      <c r="N291" s="125"/>
      <c r="O291" s="125"/>
      <c r="P291" s="125"/>
      <c r="Q291" s="125"/>
      <c r="R291" s="125"/>
    </row>
    <row r="292" spans="1:18" ht="15.75" customHeight="1">
      <c r="A292" s="125"/>
      <c r="B292" s="125"/>
      <c r="C292" s="125"/>
      <c r="D292" s="125"/>
      <c r="E292" s="125"/>
      <c r="F292" s="125"/>
      <c r="G292" s="125"/>
      <c r="H292" s="125"/>
      <c r="I292" s="125"/>
      <c r="J292" s="125"/>
      <c r="K292" s="125"/>
      <c r="L292" s="125"/>
      <c r="M292" s="125"/>
      <c r="N292" s="125"/>
      <c r="O292" s="125"/>
      <c r="P292" s="125"/>
      <c r="Q292" s="125"/>
      <c r="R292" s="125"/>
    </row>
    <row r="293" spans="1:18" ht="15.75" customHeight="1">
      <c r="A293" s="125"/>
      <c r="B293" s="125"/>
      <c r="C293" s="125"/>
      <c r="D293" s="125"/>
      <c r="E293" s="125"/>
      <c r="F293" s="125"/>
      <c r="G293" s="125"/>
      <c r="H293" s="125"/>
      <c r="I293" s="125"/>
      <c r="J293" s="125"/>
      <c r="K293" s="125"/>
      <c r="L293" s="125"/>
      <c r="M293" s="125"/>
      <c r="N293" s="125"/>
      <c r="O293" s="125"/>
      <c r="P293" s="125"/>
      <c r="Q293" s="125"/>
      <c r="R293" s="125"/>
    </row>
    <row r="294" spans="1:18" ht="15.75" customHeight="1">
      <c r="A294" s="125"/>
      <c r="B294" s="125"/>
      <c r="C294" s="125"/>
      <c r="D294" s="125"/>
      <c r="E294" s="125"/>
      <c r="F294" s="125"/>
      <c r="G294" s="125"/>
      <c r="H294" s="125"/>
      <c r="I294" s="125"/>
      <c r="J294" s="125"/>
      <c r="K294" s="125"/>
      <c r="L294" s="125"/>
      <c r="M294" s="125"/>
      <c r="N294" s="125"/>
      <c r="O294" s="125"/>
      <c r="P294" s="125"/>
      <c r="Q294" s="125"/>
      <c r="R294" s="125"/>
    </row>
    <row r="295" spans="1:18" ht="15.75" customHeight="1">
      <c r="A295" s="125"/>
      <c r="B295" s="125"/>
      <c r="C295" s="125"/>
      <c r="D295" s="125"/>
      <c r="E295" s="125"/>
      <c r="F295" s="125"/>
      <c r="G295" s="125"/>
      <c r="H295" s="125"/>
      <c r="I295" s="125"/>
      <c r="J295" s="125"/>
      <c r="K295" s="125"/>
      <c r="L295" s="125"/>
      <c r="M295" s="125"/>
      <c r="N295" s="125"/>
      <c r="O295" s="125"/>
      <c r="P295" s="125"/>
      <c r="Q295" s="125"/>
      <c r="R295" s="125"/>
    </row>
    <row r="296" spans="1:18" ht="15.75" customHeight="1">
      <c r="A296" s="125"/>
      <c r="B296" s="125"/>
      <c r="C296" s="125"/>
      <c r="D296" s="125"/>
      <c r="E296" s="125"/>
      <c r="F296" s="125"/>
      <c r="G296" s="125"/>
      <c r="H296" s="125"/>
      <c r="I296" s="125"/>
      <c r="J296" s="125"/>
      <c r="K296" s="125"/>
      <c r="L296" s="125"/>
      <c r="M296" s="125"/>
      <c r="N296" s="125"/>
      <c r="O296" s="125"/>
      <c r="P296" s="125"/>
      <c r="Q296" s="125"/>
      <c r="R296" s="125"/>
    </row>
    <row r="297" spans="1:18" ht="15.75" customHeight="1">
      <c r="A297" s="125"/>
      <c r="B297" s="125"/>
      <c r="C297" s="125"/>
      <c r="D297" s="125"/>
      <c r="E297" s="125"/>
      <c r="F297" s="125"/>
      <c r="G297" s="125"/>
      <c r="H297" s="125"/>
      <c r="I297" s="125"/>
      <c r="J297" s="125"/>
      <c r="K297" s="125"/>
      <c r="L297" s="125"/>
      <c r="M297" s="125"/>
      <c r="N297" s="125"/>
      <c r="O297" s="125"/>
      <c r="P297" s="125"/>
      <c r="Q297" s="125"/>
      <c r="R297" s="125"/>
    </row>
    <row r="298" spans="1:18" ht="15.75" customHeight="1">
      <c r="A298" s="125"/>
      <c r="B298" s="125"/>
      <c r="C298" s="125"/>
      <c r="D298" s="125"/>
      <c r="E298" s="125"/>
      <c r="F298" s="125"/>
      <c r="G298" s="125"/>
      <c r="H298" s="125"/>
      <c r="I298" s="125"/>
      <c r="J298" s="125"/>
      <c r="K298" s="125"/>
      <c r="L298" s="125"/>
      <c r="M298" s="125"/>
      <c r="N298" s="125"/>
      <c r="O298" s="125"/>
      <c r="P298" s="125"/>
      <c r="Q298" s="125"/>
      <c r="R298" s="125"/>
    </row>
    <row r="299" spans="1:18" ht="15.75" customHeight="1">
      <c r="A299" s="125"/>
      <c r="B299" s="125"/>
      <c r="C299" s="125"/>
      <c r="D299" s="125"/>
      <c r="E299" s="125"/>
      <c r="F299" s="125"/>
      <c r="G299" s="125"/>
      <c r="H299" s="125"/>
      <c r="I299" s="125"/>
      <c r="J299" s="125"/>
      <c r="K299" s="125"/>
      <c r="L299" s="125"/>
      <c r="M299" s="125"/>
      <c r="N299" s="125"/>
      <c r="O299" s="125"/>
      <c r="P299" s="125"/>
      <c r="Q299" s="125"/>
      <c r="R299" s="125"/>
    </row>
    <row r="300" spans="1:18" ht="15.75" customHeight="1">
      <c r="A300" s="125"/>
      <c r="B300" s="125"/>
      <c r="C300" s="125"/>
      <c r="D300" s="125"/>
      <c r="E300" s="125"/>
      <c r="F300" s="125"/>
      <c r="G300" s="125"/>
      <c r="H300" s="125"/>
      <c r="I300" s="125"/>
      <c r="J300" s="125"/>
      <c r="K300" s="125"/>
      <c r="L300" s="125"/>
      <c r="M300" s="125"/>
      <c r="N300" s="125"/>
      <c r="O300" s="125"/>
      <c r="P300" s="125"/>
      <c r="Q300" s="125"/>
      <c r="R300" s="125"/>
    </row>
    <row r="301" spans="1:18" ht="15.75" customHeight="1">
      <c r="A301" s="125"/>
      <c r="B301" s="125"/>
      <c r="C301" s="125"/>
      <c r="D301" s="125"/>
      <c r="E301" s="125"/>
      <c r="F301" s="125"/>
      <c r="G301" s="125"/>
      <c r="H301" s="125"/>
      <c r="I301" s="125"/>
      <c r="J301" s="125"/>
      <c r="K301" s="125"/>
      <c r="L301" s="125"/>
      <c r="M301" s="125"/>
      <c r="N301" s="125"/>
      <c r="O301" s="125"/>
      <c r="P301" s="125"/>
      <c r="Q301" s="125"/>
      <c r="R301" s="125"/>
    </row>
    <row r="302" spans="1:18" ht="15.75" customHeight="1">
      <c r="A302" s="125"/>
      <c r="B302" s="125"/>
      <c r="C302" s="125"/>
      <c r="D302" s="125"/>
      <c r="E302" s="125"/>
      <c r="F302" s="125"/>
      <c r="G302" s="125"/>
      <c r="H302" s="125"/>
      <c r="I302" s="125"/>
      <c r="J302" s="125"/>
      <c r="K302" s="125"/>
      <c r="L302" s="125"/>
      <c r="M302" s="125"/>
      <c r="N302" s="125"/>
      <c r="O302" s="125"/>
      <c r="P302" s="125"/>
      <c r="Q302" s="125"/>
      <c r="R302" s="125"/>
    </row>
    <row r="303" spans="1:18" ht="15.75" customHeight="1">
      <c r="A303" s="125"/>
      <c r="B303" s="125"/>
      <c r="C303" s="125"/>
      <c r="D303" s="125"/>
      <c r="E303" s="125"/>
      <c r="F303" s="125"/>
      <c r="G303" s="125"/>
      <c r="H303" s="125"/>
      <c r="I303" s="125"/>
      <c r="J303" s="125"/>
      <c r="K303" s="125"/>
      <c r="L303" s="125"/>
      <c r="M303" s="125"/>
      <c r="N303" s="125"/>
      <c r="O303" s="125"/>
      <c r="P303" s="125"/>
      <c r="Q303" s="125"/>
      <c r="R303" s="125"/>
    </row>
    <row r="304" spans="1:18" ht="15.75" customHeight="1">
      <c r="A304" s="125"/>
      <c r="B304" s="125"/>
      <c r="C304" s="125"/>
      <c r="D304" s="125"/>
      <c r="E304" s="125"/>
      <c r="F304" s="125"/>
      <c r="G304" s="125"/>
      <c r="H304" s="125"/>
      <c r="I304" s="125"/>
      <c r="J304" s="125"/>
      <c r="K304" s="125"/>
      <c r="L304" s="125"/>
      <c r="M304" s="125"/>
      <c r="N304" s="125"/>
      <c r="O304" s="125"/>
      <c r="P304" s="125"/>
      <c r="Q304" s="125"/>
      <c r="R304" s="125"/>
    </row>
    <row r="305" spans="1:18" ht="15.75" customHeight="1">
      <c r="A305" s="125"/>
      <c r="B305" s="125"/>
      <c r="C305" s="125"/>
      <c r="D305" s="125"/>
      <c r="E305" s="125"/>
      <c r="F305" s="125"/>
      <c r="G305" s="125"/>
      <c r="H305" s="125"/>
      <c r="I305" s="125"/>
      <c r="J305" s="125"/>
      <c r="K305" s="125"/>
      <c r="L305" s="125"/>
      <c r="M305" s="125"/>
      <c r="N305" s="125"/>
      <c r="O305" s="125"/>
      <c r="P305" s="125"/>
      <c r="Q305" s="125"/>
      <c r="R305" s="125"/>
    </row>
    <row r="306" spans="1:18" ht="15.75" customHeight="1">
      <c r="A306" s="125"/>
      <c r="B306" s="125"/>
      <c r="C306" s="125"/>
      <c r="D306" s="125"/>
      <c r="E306" s="125"/>
      <c r="F306" s="125"/>
      <c r="G306" s="125"/>
      <c r="H306" s="125"/>
      <c r="I306" s="125"/>
      <c r="J306" s="125"/>
      <c r="K306" s="125"/>
      <c r="L306" s="125"/>
      <c r="M306" s="125"/>
      <c r="N306" s="125"/>
      <c r="O306" s="125"/>
      <c r="P306" s="125"/>
      <c r="Q306" s="125"/>
      <c r="R306" s="125"/>
    </row>
    <row r="307" spans="1:18" ht="15.75" customHeight="1">
      <c r="A307" s="125"/>
      <c r="B307" s="125"/>
      <c r="C307" s="125"/>
      <c r="D307" s="125"/>
      <c r="E307" s="125"/>
      <c r="F307" s="125"/>
      <c r="G307" s="125"/>
      <c r="H307" s="125"/>
      <c r="I307" s="125"/>
      <c r="J307" s="125"/>
      <c r="K307" s="125"/>
      <c r="L307" s="125"/>
      <c r="M307" s="125"/>
      <c r="N307" s="125"/>
      <c r="O307" s="125"/>
      <c r="P307" s="125"/>
      <c r="Q307" s="125"/>
      <c r="R307" s="125"/>
    </row>
    <row r="308" spans="1:18" ht="15.75" customHeight="1">
      <c r="A308" s="125"/>
      <c r="B308" s="125"/>
      <c r="C308" s="125"/>
      <c r="D308" s="125"/>
      <c r="E308" s="125"/>
      <c r="F308" s="125"/>
      <c r="G308" s="125"/>
      <c r="H308" s="125"/>
      <c r="I308" s="125"/>
      <c r="J308" s="125"/>
      <c r="K308" s="125"/>
      <c r="L308" s="125"/>
      <c r="M308" s="125"/>
      <c r="N308" s="125"/>
      <c r="O308" s="125"/>
      <c r="P308" s="125"/>
      <c r="Q308" s="125"/>
      <c r="R308" s="125"/>
    </row>
    <row r="309" spans="1:18" ht="15.75" customHeight="1">
      <c r="A309" s="125"/>
      <c r="B309" s="125"/>
      <c r="C309" s="125"/>
      <c r="D309" s="125"/>
      <c r="E309" s="125"/>
      <c r="F309" s="125"/>
      <c r="G309" s="125"/>
      <c r="H309" s="125"/>
      <c r="I309" s="125"/>
      <c r="J309" s="125"/>
      <c r="K309" s="125"/>
      <c r="L309" s="125"/>
      <c r="M309" s="125"/>
      <c r="N309" s="125"/>
      <c r="O309" s="125"/>
      <c r="P309" s="125"/>
      <c r="Q309" s="125"/>
      <c r="R309" s="125"/>
    </row>
    <row r="310" spans="1:18" ht="15.75" customHeight="1">
      <c r="A310" s="125"/>
      <c r="B310" s="125"/>
      <c r="C310" s="125"/>
      <c r="D310" s="125"/>
      <c r="E310" s="125"/>
      <c r="F310" s="125"/>
      <c r="G310" s="125"/>
      <c r="H310" s="125"/>
      <c r="I310" s="125"/>
      <c r="J310" s="125"/>
      <c r="K310" s="125"/>
      <c r="L310" s="125"/>
      <c r="M310" s="125"/>
      <c r="N310" s="125"/>
      <c r="O310" s="125"/>
      <c r="P310" s="125"/>
      <c r="Q310" s="125"/>
      <c r="R310" s="125"/>
    </row>
    <row r="311" spans="1:18" ht="15.75" customHeight="1">
      <c r="A311" s="125"/>
      <c r="B311" s="125"/>
      <c r="C311" s="125"/>
      <c r="D311" s="125"/>
      <c r="E311" s="125"/>
      <c r="F311" s="125"/>
      <c r="G311" s="125"/>
      <c r="H311" s="125"/>
      <c r="I311" s="125"/>
      <c r="J311" s="125"/>
      <c r="K311" s="125"/>
      <c r="L311" s="125"/>
      <c r="M311" s="125"/>
      <c r="N311" s="125"/>
      <c r="O311" s="125"/>
      <c r="P311" s="125"/>
      <c r="Q311" s="125"/>
      <c r="R311" s="125"/>
    </row>
    <row r="312" spans="1:18" ht="15.75" customHeight="1">
      <c r="A312" s="125"/>
      <c r="B312" s="125"/>
      <c r="C312" s="125"/>
      <c r="D312" s="125"/>
      <c r="E312" s="125"/>
      <c r="F312" s="125"/>
      <c r="G312" s="125"/>
      <c r="H312" s="125"/>
      <c r="I312" s="125"/>
      <c r="J312" s="125"/>
      <c r="K312" s="125"/>
      <c r="L312" s="125"/>
      <c r="M312" s="125"/>
      <c r="N312" s="125"/>
      <c r="O312" s="125"/>
      <c r="P312" s="125"/>
      <c r="Q312" s="125"/>
      <c r="R312" s="125"/>
    </row>
    <row r="313" spans="1:18" ht="15.75" customHeight="1">
      <c r="A313" s="125"/>
      <c r="B313" s="125"/>
      <c r="C313" s="125"/>
      <c r="D313" s="125"/>
      <c r="E313" s="125"/>
      <c r="F313" s="125"/>
      <c r="G313" s="125"/>
      <c r="H313" s="125"/>
      <c r="I313" s="125"/>
      <c r="J313" s="125"/>
      <c r="K313" s="125"/>
      <c r="L313" s="125"/>
      <c r="M313" s="125"/>
      <c r="N313" s="125"/>
      <c r="O313" s="125"/>
      <c r="P313" s="125"/>
      <c r="Q313" s="125"/>
      <c r="R313" s="125"/>
    </row>
    <row r="314" spans="1:18" ht="15.75" customHeight="1">
      <c r="A314" s="125"/>
      <c r="B314" s="125"/>
      <c r="C314" s="125"/>
      <c r="D314" s="125"/>
      <c r="E314" s="125"/>
      <c r="F314" s="125"/>
      <c r="G314" s="125"/>
      <c r="H314" s="125"/>
      <c r="I314" s="125"/>
      <c r="J314" s="125"/>
      <c r="K314" s="125"/>
      <c r="L314" s="125"/>
      <c r="M314" s="125"/>
      <c r="N314" s="125"/>
      <c r="O314" s="125"/>
      <c r="P314" s="125"/>
      <c r="Q314" s="125"/>
      <c r="R314" s="125"/>
    </row>
    <row r="315" spans="1:18" ht="15.75" customHeight="1">
      <c r="A315" s="125"/>
      <c r="B315" s="125"/>
      <c r="C315" s="125"/>
      <c r="D315" s="125"/>
      <c r="E315" s="125"/>
      <c r="F315" s="125"/>
      <c r="G315" s="125"/>
      <c r="H315" s="125"/>
      <c r="I315" s="125"/>
      <c r="J315" s="125"/>
      <c r="K315" s="125"/>
      <c r="L315" s="125"/>
      <c r="M315" s="125"/>
      <c r="N315" s="125"/>
      <c r="O315" s="125"/>
      <c r="P315" s="125"/>
      <c r="Q315" s="125"/>
      <c r="R315" s="125"/>
    </row>
    <row r="316" spans="1:18" ht="15.75" customHeight="1">
      <c r="A316" s="125"/>
      <c r="B316" s="125"/>
      <c r="C316" s="125"/>
      <c r="D316" s="125"/>
      <c r="E316" s="125"/>
      <c r="F316" s="125"/>
      <c r="G316" s="125"/>
      <c r="H316" s="125"/>
      <c r="I316" s="125"/>
      <c r="J316" s="125"/>
      <c r="K316" s="125"/>
      <c r="L316" s="125"/>
      <c r="M316" s="125"/>
      <c r="N316" s="125"/>
      <c r="O316" s="125"/>
      <c r="P316" s="125"/>
      <c r="Q316" s="125"/>
      <c r="R316" s="125"/>
    </row>
    <row r="317" spans="1:18" ht="15.75" customHeight="1">
      <c r="A317" s="125"/>
      <c r="B317" s="125"/>
      <c r="C317" s="125"/>
      <c r="D317" s="125"/>
      <c r="E317" s="125"/>
      <c r="F317" s="125"/>
      <c r="G317" s="125"/>
      <c r="H317" s="125"/>
      <c r="I317" s="125"/>
      <c r="J317" s="125"/>
      <c r="K317" s="125"/>
      <c r="L317" s="125"/>
      <c r="M317" s="125"/>
      <c r="N317" s="125"/>
      <c r="O317" s="125"/>
      <c r="P317" s="125"/>
      <c r="Q317" s="125"/>
      <c r="R317" s="125"/>
    </row>
    <row r="318" spans="1:18" ht="15.75" customHeight="1">
      <c r="A318" s="125"/>
      <c r="B318" s="125"/>
      <c r="C318" s="125"/>
      <c r="D318" s="125"/>
      <c r="E318" s="125"/>
      <c r="F318" s="125"/>
      <c r="G318" s="125"/>
      <c r="H318" s="125"/>
      <c r="I318" s="125"/>
      <c r="J318" s="125"/>
      <c r="K318" s="125"/>
      <c r="L318" s="125"/>
      <c r="M318" s="125"/>
      <c r="N318" s="125"/>
      <c r="O318" s="125"/>
      <c r="P318" s="125"/>
      <c r="Q318" s="125"/>
      <c r="R318" s="125"/>
    </row>
    <row r="319" spans="1:18" ht="15.75" customHeight="1">
      <c r="A319" s="125"/>
      <c r="B319" s="125"/>
      <c r="C319" s="125"/>
      <c r="D319" s="125"/>
      <c r="E319" s="125"/>
      <c r="F319" s="125"/>
      <c r="G319" s="125"/>
      <c r="H319" s="125"/>
      <c r="I319" s="125"/>
      <c r="J319" s="125"/>
      <c r="K319" s="125"/>
      <c r="L319" s="125"/>
      <c r="M319" s="125"/>
      <c r="N319" s="125"/>
      <c r="O319" s="125"/>
      <c r="P319" s="125"/>
      <c r="Q319" s="125"/>
      <c r="R319" s="125"/>
    </row>
    <row r="320" spans="1:18" ht="15.75" customHeight="1">
      <c r="A320" s="125"/>
      <c r="B320" s="125"/>
      <c r="C320" s="125"/>
      <c r="D320" s="125"/>
      <c r="E320" s="125"/>
      <c r="F320" s="125"/>
      <c r="G320" s="125"/>
      <c r="H320" s="125"/>
      <c r="I320" s="125"/>
      <c r="J320" s="125"/>
      <c r="K320" s="125"/>
      <c r="L320" s="125"/>
      <c r="M320" s="125"/>
      <c r="N320" s="125"/>
      <c r="O320" s="125"/>
      <c r="P320" s="125"/>
      <c r="Q320" s="125"/>
      <c r="R320" s="125"/>
    </row>
    <row r="321" spans="1:18" ht="15.75" customHeight="1">
      <c r="A321" s="125"/>
      <c r="B321" s="125"/>
      <c r="C321" s="125"/>
      <c r="D321" s="125"/>
      <c r="E321" s="125"/>
      <c r="F321" s="125"/>
      <c r="G321" s="125"/>
      <c r="H321" s="125"/>
      <c r="I321" s="125"/>
      <c r="J321" s="125"/>
      <c r="K321" s="125"/>
      <c r="L321" s="125"/>
      <c r="M321" s="125"/>
      <c r="N321" s="125"/>
      <c r="O321" s="125"/>
      <c r="P321" s="125"/>
      <c r="Q321" s="125"/>
      <c r="R321" s="125"/>
    </row>
    <row r="322" spans="1:18" ht="15.75" customHeight="1">
      <c r="A322" s="125"/>
      <c r="B322" s="125"/>
      <c r="C322" s="125"/>
      <c r="D322" s="125"/>
      <c r="E322" s="125"/>
      <c r="F322" s="125"/>
      <c r="G322" s="125"/>
      <c r="H322" s="125"/>
      <c r="I322" s="125"/>
      <c r="J322" s="125"/>
      <c r="K322" s="125"/>
      <c r="L322" s="125"/>
      <c r="M322" s="125"/>
      <c r="N322" s="125"/>
      <c r="O322" s="125"/>
      <c r="P322" s="125"/>
      <c r="Q322" s="125"/>
      <c r="R322" s="125"/>
    </row>
    <row r="323" spans="1:18" ht="15.75" customHeight="1">
      <c r="A323" s="125"/>
      <c r="B323" s="125"/>
      <c r="C323" s="125"/>
      <c r="D323" s="125"/>
      <c r="E323" s="125"/>
      <c r="F323" s="125"/>
      <c r="G323" s="125"/>
      <c r="H323" s="125"/>
      <c r="I323" s="125"/>
      <c r="J323" s="125"/>
      <c r="K323" s="125"/>
      <c r="L323" s="125"/>
      <c r="M323" s="125"/>
      <c r="N323" s="125"/>
      <c r="O323" s="125"/>
      <c r="P323" s="125"/>
      <c r="Q323" s="125"/>
      <c r="R323" s="125"/>
    </row>
    <row r="324" spans="1:18" ht="15.75" customHeight="1">
      <c r="A324" s="125"/>
      <c r="B324" s="125"/>
      <c r="C324" s="125"/>
      <c r="D324" s="125"/>
      <c r="E324" s="125"/>
      <c r="F324" s="125"/>
      <c r="G324" s="125"/>
      <c r="H324" s="125"/>
      <c r="I324" s="125"/>
      <c r="J324" s="125"/>
      <c r="K324" s="125"/>
      <c r="L324" s="125"/>
      <c r="M324" s="125"/>
      <c r="N324" s="125"/>
      <c r="O324" s="125"/>
      <c r="P324" s="125"/>
      <c r="Q324" s="125"/>
      <c r="R324" s="125"/>
    </row>
    <row r="325" spans="1:18" ht="15.75" customHeight="1">
      <c r="A325" s="125"/>
      <c r="B325" s="125"/>
      <c r="C325" s="125"/>
      <c r="D325" s="125"/>
      <c r="E325" s="125"/>
      <c r="F325" s="125"/>
      <c r="G325" s="125"/>
      <c r="H325" s="125"/>
      <c r="I325" s="125"/>
      <c r="J325" s="125"/>
      <c r="K325" s="125"/>
      <c r="L325" s="125"/>
      <c r="M325" s="125"/>
      <c r="N325" s="125"/>
      <c r="O325" s="125"/>
      <c r="P325" s="125"/>
      <c r="Q325" s="125"/>
      <c r="R325" s="125"/>
    </row>
    <row r="326" spans="1:18" ht="15.75" customHeight="1">
      <c r="A326" s="125"/>
      <c r="B326" s="125"/>
      <c r="C326" s="125"/>
      <c r="D326" s="125"/>
      <c r="E326" s="125"/>
      <c r="F326" s="125"/>
      <c r="G326" s="125"/>
      <c r="H326" s="125"/>
      <c r="I326" s="125"/>
      <c r="J326" s="125"/>
      <c r="K326" s="125"/>
      <c r="L326" s="125"/>
      <c r="M326" s="125"/>
      <c r="N326" s="125"/>
      <c r="O326" s="125"/>
      <c r="P326" s="125"/>
      <c r="Q326" s="125"/>
      <c r="R326" s="125"/>
    </row>
    <row r="327" spans="1:18" ht="15.75" customHeight="1">
      <c r="A327" s="125"/>
      <c r="B327" s="125"/>
      <c r="C327" s="125"/>
      <c r="D327" s="125"/>
      <c r="E327" s="125"/>
      <c r="F327" s="125"/>
      <c r="G327" s="125"/>
      <c r="H327" s="125"/>
      <c r="I327" s="125"/>
      <c r="J327" s="125"/>
      <c r="K327" s="125"/>
      <c r="L327" s="125"/>
      <c r="M327" s="125"/>
      <c r="N327" s="125"/>
      <c r="O327" s="125"/>
      <c r="P327" s="125"/>
      <c r="Q327" s="125"/>
      <c r="R327" s="125"/>
    </row>
    <row r="328" spans="1:18" ht="15.75" customHeight="1">
      <c r="A328" s="125"/>
      <c r="B328" s="125"/>
      <c r="C328" s="125"/>
      <c r="D328" s="125"/>
      <c r="E328" s="125"/>
      <c r="F328" s="125"/>
      <c r="G328" s="125"/>
      <c r="H328" s="125"/>
      <c r="I328" s="125"/>
      <c r="J328" s="125"/>
      <c r="K328" s="125"/>
      <c r="L328" s="125"/>
      <c r="M328" s="125"/>
      <c r="N328" s="125"/>
      <c r="O328" s="125"/>
      <c r="P328" s="125"/>
      <c r="Q328" s="125"/>
      <c r="R328" s="125"/>
    </row>
    <row r="329" spans="1:18" ht="15.75" customHeight="1">
      <c r="A329" s="125"/>
      <c r="B329" s="125"/>
      <c r="C329" s="125"/>
      <c r="D329" s="125"/>
      <c r="E329" s="125"/>
      <c r="F329" s="125"/>
      <c r="G329" s="125"/>
      <c r="H329" s="125"/>
      <c r="I329" s="125"/>
      <c r="J329" s="125"/>
      <c r="K329" s="125"/>
      <c r="L329" s="125"/>
      <c r="M329" s="125"/>
      <c r="N329" s="125"/>
      <c r="O329" s="125"/>
      <c r="P329" s="125"/>
      <c r="Q329" s="125"/>
      <c r="R329" s="125"/>
    </row>
    <row r="330" spans="1:18" ht="15.75" customHeight="1">
      <c r="A330" s="125"/>
      <c r="B330" s="125"/>
      <c r="C330" s="125"/>
      <c r="D330" s="125"/>
      <c r="E330" s="125"/>
      <c r="F330" s="125"/>
      <c r="G330" s="125"/>
      <c r="H330" s="125"/>
      <c r="I330" s="125"/>
      <c r="J330" s="125"/>
      <c r="K330" s="125"/>
      <c r="L330" s="125"/>
      <c r="M330" s="125"/>
      <c r="N330" s="125"/>
      <c r="O330" s="125"/>
      <c r="P330" s="125"/>
      <c r="Q330" s="125"/>
      <c r="R330" s="125"/>
    </row>
    <row r="331" spans="1:18" ht="15.75" customHeight="1">
      <c r="A331" s="125"/>
      <c r="B331" s="125"/>
      <c r="C331" s="125"/>
      <c r="D331" s="125"/>
      <c r="E331" s="125"/>
      <c r="F331" s="125"/>
      <c r="G331" s="125"/>
      <c r="H331" s="125"/>
      <c r="I331" s="125"/>
      <c r="J331" s="125"/>
      <c r="K331" s="125"/>
      <c r="L331" s="125"/>
      <c r="M331" s="125"/>
      <c r="N331" s="125"/>
      <c r="O331" s="125"/>
      <c r="P331" s="125"/>
      <c r="Q331" s="125"/>
      <c r="R331" s="125"/>
    </row>
    <row r="332" spans="1:18" ht="15.75" customHeight="1">
      <c r="A332" s="125"/>
      <c r="B332" s="125"/>
      <c r="C332" s="125"/>
      <c r="D332" s="125"/>
      <c r="E332" s="125"/>
      <c r="F332" s="125"/>
      <c r="G332" s="125"/>
      <c r="H332" s="125"/>
      <c r="I332" s="125"/>
      <c r="J332" s="125"/>
      <c r="K332" s="125"/>
      <c r="L332" s="125"/>
      <c r="M332" s="125"/>
      <c r="N332" s="125"/>
      <c r="O332" s="125"/>
      <c r="P332" s="125"/>
      <c r="Q332" s="125"/>
      <c r="R332" s="125"/>
    </row>
    <row r="333" spans="1:18" ht="15.75" customHeight="1">
      <c r="A333" s="125"/>
      <c r="B333" s="125"/>
      <c r="C333" s="125"/>
      <c r="D333" s="125"/>
      <c r="E333" s="125"/>
      <c r="F333" s="125"/>
      <c r="G333" s="125"/>
      <c r="H333" s="125"/>
      <c r="I333" s="125"/>
      <c r="J333" s="125"/>
      <c r="K333" s="125"/>
      <c r="L333" s="125"/>
      <c r="M333" s="125"/>
      <c r="N333" s="125"/>
      <c r="O333" s="125"/>
      <c r="P333" s="125"/>
      <c r="Q333" s="125"/>
      <c r="R333" s="125"/>
    </row>
    <row r="334" spans="1:18" ht="15.75" customHeight="1">
      <c r="A334" s="125"/>
      <c r="B334" s="125"/>
      <c r="C334" s="125"/>
      <c r="D334" s="125"/>
      <c r="E334" s="125"/>
      <c r="F334" s="125"/>
      <c r="G334" s="125"/>
      <c r="H334" s="125"/>
      <c r="I334" s="125"/>
      <c r="J334" s="125"/>
      <c r="K334" s="125"/>
      <c r="L334" s="125"/>
      <c r="M334" s="125"/>
      <c r="N334" s="125"/>
      <c r="O334" s="125"/>
      <c r="P334" s="125"/>
      <c r="Q334" s="125"/>
      <c r="R334" s="125"/>
    </row>
    <row r="335" spans="1:18" ht="15.75" customHeight="1">
      <c r="A335" s="125"/>
      <c r="B335" s="125"/>
      <c r="C335" s="125"/>
      <c r="D335" s="125"/>
      <c r="E335" s="125"/>
      <c r="F335" s="125"/>
      <c r="G335" s="125"/>
      <c r="H335" s="125"/>
      <c r="I335" s="125"/>
      <c r="J335" s="125"/>
      <c r="K335" s="125"/>
      <c r="L335" s="125"/>
      <c r="M335" s="125"/>
      <c r="N335" s="125"/>
      <c r="O335" s="125"/>
      <c r="P335" s="125"/>
      <c r="Q335" s="125"/>
      <c r="R335" s="125"/>
    </row>
    <row r="336" spans="1:18" ht="15.75" customHeight="1">
      <c r="A336" s="125"/>
      <c r="B336" s="125"/>
      <c r="C336" s="125"/>
      <c r="D336" s="125"/>
      <c r="E336" s="125"/>
      <c r="F336" s="125"/>
      <c r="G336" s="125"/>
      <c r="H336" s="125"/>
      <c r="I336" s="125"/>
      <c r="J336" s="125"/>
      <c r="K336" s="125"/>
      <c r="L336" s="125"/>
      <c r="M336" s="125"/>
      <c r="N336" s="125"/>
      <c r="O336" s="125"/>
      <c r="P336" s="125"/>
      <c r="Q336" s="125"/>
      <c r="R336" s="125"/>
    </row>
    <row r="337" spans="1:18" ht="15.75" customHeight="1">
      <c r="A337" s="125"/>
      <c r="B337" s="125"/>
      <c r="C337" s="125"/>
      <c r="D337" s="125"/>
      <c r="E337" s="125"/>
      <c r="F337" s="125"/>
      <c r="G337" s="125"/>
      <c r="H337" s="125"/>
      <c r="I337" s="125"/>
      <c r="J337" s="125"/>
      <c r="K337" s="125"/>
      <c r="L337" s="125"/>
      <c r="M337" s="125"/>
      <c r="N337" s="125"/>
      <c r="O337" s="125"/>
      <c r="P337" s="125"/>
      <c r="Q337" s="125"/>
      <c r="R337" s="125"/>
    </row>
    <row r="338" spans="1:18" ht="15.75" customHeight="1">
      <c r="A338" s="125"/>
      <c r="B338" s="125"/>
      <c r="C338" s="125"/>
      <c r="D338" s="125"/>
      <c r="E338" s="125"/>
      <c r="F338" s="125"/>
      <c r="G338" s="125"/>
      <c r="H338" s="125"/>
      <c r="I338" s="125"/>
      <c r="J338" s="125"/>
      <c r="K338" s="125"/>
      <c r="L338" s="125"/>
      <c r="M338" s="125"/>
      <c r="N338" s="125"/>
      <c r="O338" s="125"/>
      <c r="P338" s="125"/>
      <c r="Q338" s="125"/>
      <c r="R338" s="125"/>
    </row>
    <row r="339" spans="1:18" ht="15.75" customHeight="1">
      <c r="A339" s="125"/>
      <c r="B339" s="125"/>
      <c r="C339" s="125"/>
      <c r="D339" s="125"/>
      <c r="E339" s="125"/>
      <c r="F339" s="125"/>
      <c r="G339" s="125"/>
      <c r="H339" s="125"/>
      <c r="I339" s="125"/>
      <c r="J339" s="125"/>
      <c r="K339" s="125"/>
      <c r="L339" s="125"/>
      <c r="M339" s="125"/>
      <c r="N339" s="125"/>
      <c r="O339" s="125"/>
      <c r="P339" s="125"/>
      <c r="Q339" s="125"/>
      <c r="R339" s="125"/>
    </row>
    <row r="340" spans="1:18" ht="15.75" customHeight="1">
      <c r="A340" s="125"/>
      <c r="B340" s="125"/>
      <c r="C340" s="125"/>
      <c r="D340" s="125"/>
      <c r="E340" s="125"/>
      <c r="F340" s="125"/>
      <c r="G340" s="125"/>
      <c r="H340" s="125"/>
      <c r="I340" s="125"/>
      <c r="J340" s="125"/>
      <c r="K340" s="125"/>
      <c r="L340" s="125"/>
      <c r="M340" s="125"/>
      <c r="N340" s="125"/>
      <c r="O340" s="125"/>
      <c r="P340" s="125"/>
      <c r="Q340" s="125"/>
      <c r="R340" s="125"/>
    </row>
    <row r="341" spans="1:18" ht="15.75" customHeight="1">
      <c r="A341" s="125"/>
      <c r="B341" s="125"/>
      <c r="C341" s="125"/>
      <c r="D341" s="125"/>
      <c r="E341" s="125"/>
      <c r="F341" s="125"/>
      <c r="G341" s="125"/>
      <c r="H341" s="125"/>
      <c r="I341" s="125"/>
      <c r="J341" s="125"/>
      <c r="K341" s="125"/>
      <c r="L341" s="125"/>
      <c r="M341" s="125"/>
      <c r="N341" s="125"/>
      <c r="O341" s="125"/>
      <c r="P341" s="125"/>
      <c r="Q341" s="125"/>
      <c r="R341" s="125"/>
    </row>
    <row r="342" spans="1:18" ht="15.75" customHeight="1">
      <c r="A342" s="125"/>
      <c r="B342" s="125"/>
      <c r="C342" s="125"/>
      <c r="D342" s="125"/>
      <c r="E342" s="125"/>
      <c r="F342" s="125"/>
      <c r="G342" s="125"/>
      <c r="H342" s="125"/>
      <c r="I342" s="125"/>
      <c r="J342" s="125"/>
      <c r="K342" s="125"/>
      <c r="L342" s="125"/>
      <c r="M342" s="125"/>
      <c r="N342" s="125"/>
      <c r="O342" s="125"/>
      <c r="P342" s="125"/>
      <c r="Q342" s="125"/>
      <c r="R342" s="125"/>
    </row>
    <row r="343" spans="1:18" ht="15.75" customHeight="1">
      <c r="A343" s="125"/>
      <c r="B343" s="125"/>
      <c r="C343" s="125"/>
      <c r="D343" s="125"/>
      <c r="E343" s="125"/>
      <c r="F343" s="125"/>
      <c r="G343" s="125"/>
      <c r="H343" s="125"/>
      <c r="I343" s="125"/>
      <c r="J343" s="125"/>
      <c r="K343" s="125"/>
      <c r="L343" s="125"/>
      <c r="M343" s="125"/>
      <c r="N343" s="125"/>
      <c r="O343" s="125"/>
      <c r="P343" s="125"/>
      <c r="Q343" s="125"/>
      <c r="R343" s="125"/>
    </row>
    <row r="344" spans="1:18" ht="15.75" customHeight="1">
      <c r="A344" s="125"/>
      <c r="B344" s="125"/>
      <c r="C344" s="125"/>
      <c r="D344" s="125"/>
      <c r="E344" s="125"/>
      <c r="F344" s="125"/>
      <c r="G344" s="125"/>
      <c r="H344" s="125"/>
      <c r="I344" s="125"/>
      <c r="J344" s="125"/>
      <c r="K344" s="125"/>
      <c r="L344" s="125"/>
      <c r="M344" s="125"/>
      <c r="N344" s="125"/>
      <c r="O344" s="125"/>
      <c r="P344" s="125"/>
      <c r="Q344" s="125"/>
      <c r="R344" s="125"/>
    </row>
    <row r="345" spans="1:18" ht="15.75" customHeight="1">
      <c r="A345" s="125"/>
      <c r="B345" s="125"/>
      <c r="C345" s="125"/>
      <c r="D345" s="125"/>
      <c r="E345" s="125"/>
      <c r="F345" s="125"/>
      <c r="G345" s="125"/>
      <c r="H345" s="125"/>
      <c r="I345" s="125"/>
      <c r="J345" s="125"/>
      <c r="K345" s="125"/>
      <c r="L345" s="125"/>
      <c r="M345" s="125"/>
      <c r="N345" s="125"/>
      <c r="O345" s="125"/>
      <c r="P345" s="125"/>
      <c r="Q345" s="125"/>
      <c r="R345" s="125"/>
    </row>
    <row r="346" spans="1:18" ht="15.75" customHeight="1">
      <c r="A346" s="125"/>
      <c r="B346" s="125"/>
      <c r="C346" s="125"/>
      <c r="D346" s="125"/>
      <c r="E346" s="125"/>
      <c r="F346" s="125"/>
      <c r="G346" s="125"/>
      <c r="H346" s="125"/>
      <c r="I346" s="125"/>
      <c r="J346" s="125"/>
      <c r="K346" s="125"/>
      <c r="L346" s="125"/>
      <c r="M346" s="125"/>
      <c r="N346" s="125"/>
      <c r="O346" s="125"/>
      <c r="P346" s="125"/>
      <c r="Q346" s="125"/>
      <c r="R346" s="125"/>
    </row>
    <row r="347" spans="1:18" ht="15.75" customHeight="1">
      <c r="A347" s="125"/>
      <c r="B347" s="125"/>
      <c r="C347" s="125"/>
      <c r="D347" s="125"/>
      <c r="E347" s="125"/>
      <c r="F347" s="125"/>
      <c r="G347" s="125"/>
      <c r="H347" s="125"/>
      <c r="I347" s="125"/>
      <c r="J347" s="125"/>
      <c r="K347" s="125"/>
      <c r="L347" s="125"/>
      <c r="M347" s="125"/>
      <c r="N347" s="125"/>
      <c r="O347" s="125"/>
      <c r="P347" s="125"/>
      <c r="Q347" s="125"/>
      <c r="R347" s="125"/>
    </row>
    <row r="348" spans="1:18" ht="15.75" customHeight="1">
      <c r="A348" s="125"/>
      <c r="B348" s="125"/>
      <c r="C348" s="125"/>
      <c r="D348" s="125"/>
      <c r="E348" s="125"/>
      <c r="F348" s="125"/>
      <c r="G348" s="125"/>
      <c r="H348" s="125"/>
      <c r="I348" s="125"/>
      <c r="J348" s="125"/>
      <c r="K348" s="125"/>
      <c r="L348" s="125"/>
      <c r="M348" s="125"/>
      <c r="N348" s="125"/>
      <c r="O348" s="125"/>
      <c r="P348" s="125"/>
      <c r="Q348" s="125"/>
      <c r="R348" s="125"/>
    </row>
    <row r="349" spans="1:18" ht="15.75" customHeight="1">
      <c r="A349" s="125"/>
      <c r="B349" s="125"/>
      <c r="C349" s="125"/>
      <c r="D349" s="125"/>
      <c r="E349" s="125"/>
      <c r="F349" s="125"/>
      <c r="G349" s="125"/>
      <c r="H349" s="125"/>
      <c r="I349" s="125"/>
      <c r="J349" s="125"/>
      <c r="K349" s="125"/>
      <c r="L349" s="125"/>
      <c r="M349" s="125"/>
      <c r="N349" s="125"/>
      <c r="O349" s="125"/>
      <c r="P349" s="125"/>
      <c r="Q349" s="125"/>
      <c r="R349" s="125"/>
    </row>
    <row r="350" spans="1:18" ht="15.75" customHeight="1">
      <c r="A350" s="125"/>
      <c r="B350" s="125"/>
      <c r="C350" s="125"/>
      <c r="D350" s="125"/>
      <c r="E350" s="125"/>
      <c r="F350" s="125"/>
      <c r="G350" s="125"/>
      <c r="H350" s="125"/>
      <c r="I350" s="125"/>
      <c r="J350" s="125"/>
      <c r="K350" s="125"/>
      <c r="L350" s="125"/>
      <c r="M350" s="125"/>
      <c r="N350" s="125"/>
      <c r="O350" s="125"/>
      <c r="P350" s="125"/>
      <c r="Q350" s="125"/>
      <c r="R350" s="125"/>
    </row>
    <row r="351" spans="1:18" ht="15.75" customHeight="1">
      <c r="A351" s="125"/>
      <c r="B351" s="125"/>
      <c r="C351" s="125"/>
      <c r="D351" s="125"/>
      <c r="E351" s="125"/>
      <c r="F351" s="125"/>
      <c r="G351" s="125"/>
      <c r="H351" s="125"/>
      <c r="I351" s="125"/>
      <c r="J351" s="125"/>
      <c r="K351" s="125"/>
      <c r="L351" s="125"/>
      <c r="M351" s="125"/>
      <c r="N351" s="125"/>
      <c r="O351" s="125"/>
      <c r="P351" s="125"/>
      <c r="Q351" s="125"/>
      <c r="R351" s="125"/>
    </row>
    <row r="352" spans="1:18" ht="15.75" customHeight="1">
      <c r="A352" s="125"/>
      <c r="B352" s="125"/>
      <c r="C352" s="125"/>
      <c r="D352" s="125"/>
      <c r="E352" s="125"/>
      <c r="F352" s="125"/>
      <c r="G352" s="125"/>
      <c r="H352" s="125"/>
      <c r="I352" s="125"/>
      <c r="J352" s="125"/>
      <c r="K352" s="125"/>
      <c r="L352" s="125"/>
      <c r="M352" s="125"/>
      <c r="N352" s="125"/>
      <c r="O352" s="125"/>
      <c r="P352" s="125"/>
      <c r="Q352" s="125"/>
      <c r="R352" s="125"/>
    </row>
    <row r="353" spans="1:18" ht="15.75" customHeight="1">
      <c r="A353" s="125"/>
      <c r="B353" s="125"/>
      <c r="C353" s="125"/>
      <c r="D353" s="125"/>
      <c r="E353" s="125"/>
      <c r="F353" s="125"/>
      <c r="G353" s="125"/>
      <c r="H353" s="125"/>
      <c r="I353" s="125"/>
      <c r="J353" s="125"/>
      <c r="K353" s="125"/>
      <c r="L353" s="125"/>
      <c r="M353" s="125"/>
      <c r="N353" s="125"/>
      <c r="O353" s="125"/>
      <c r="P353" s="125"/>
      <c r="Q353" s="125"/>
      <c r="R353" s="125"/>
    </row>
    <row r="354" spans="1:18" ht="15.75" customHeight="1">
      <c r="A354" s="125"/>
      <c r="B354" s="125"/>
      <c r="C354" s="125"/>
      <c r="D354" s="125"/>
      <c r="E354" s="125"/>
      <c r="F354" s="125"/>
      <c r="G354" s="125"/>
      <c r="H354" s="125"/>
      <c r="I354" s="125"/>
      <c r="J354" s="125"/>
      <c r="K354" s="125"/>
      <c r="L354" s="125"/>
      <c r="M354" s="125"/>
      <c r="N354" s="125"/>
      <c r="O354" s="125"/>
      <c r="P354" s="125"/>
      <c r="Q354" s="125"/>
      <c r="R354" s="125"/>
    </row>
    <row r="355" spans="1:18" ht="15.75" customHeight="1">
      <c r="A355" s="125"/>
      <c r="B355" s="125"/>
      <c r="C355" s="125"/>
      <c r="D355" s="125"/>
      <c r="E355" s="125"/>
      <c r="F355" s="125"/>
      <c r="G355" s="125"/>
      <c r="H355" s="125"/>
      <c r="I355" s="125"/>
      <c r="J355" s="125"/>
      <c r="K355" s="125"/>
      <c r="L355" s="125"/>
      <c r="M355" s="125"/>
      <c r="N355" s="125"/>
      <c r="O355" s="125"/>
      <c r="P355" s="125"/>
      <c r="Q355" s="125"/>
      <c r="R355" s="125"/>
    </row>
    <row r="356" spans="1:18" ht="15.75" customHeight="1">
      <c r="A356" s="125"/>
      <c r="B356" s="125"/>
      <c r="C356" s="125"/>
      <c r="D356" s="125"/>
      <c r="E356" s="125"/>
      <c r="F356" s="125"/>
      <c r="G356" s="125"/>
      <c r="H356" s="125"/>
      <c r="I356" s="125"/>
      <c r="J356" s="125"/>
      <c r="K356" s="125"/>
      <c r="L356" s="125"/>
      <c r="M356" s="125"/>
      <c r="N356" s="125"/>
      <c r="O356" s="125"/>
      <c r="P356" s="125"/>
      <c r="Q356" s="125"/>
      <c r="R356" s="125"/>
    </row>
    <row r="357" spans="1:18" ht="15.75" customHeight="1">
      <c r="A357" s="125"/>
      <c r="B357" s="125"/>
      <c r="C357" s="125"/>
      <c r="D357" s="125"/>
      <c r="E357" s="125"/>
      <c r="F357" s="125"/>
      <c r="G357" s="125"/>
      <c r="H357" s="125"/>
      <c r="I357" s="125"/>
      <c r="J357" s="125"/>
      <c r="K357" s="125"/>
      <c r="L357" s="125"/>
      <c r="M357" s="125"/>
      <c r="N357" s="125"/>
      <c r="O357" s="125"/>
      <c r="P357" s="125"/>
      <c r="Q357" s="125"/>
      <c r="R357" s="125"/>
    </row>
    <row r="358" spans="1:18" ht="15.75" customHeight="1">
      <c r="A358" s="125"/>
      <c r="B358" s="125"/>
      <c r="C358" s="125"/>
      <c r="D358" s="125"/>
      <c r="E358" s="125"/>
      <c r="F358" s="125"/>
      <c r="G358" s="125"/>
      <c r="H358" s="125"/>
      <c r="I358" s="125"/>
      <c r="J358" s="125"/>
      <c r="K358" s="125"/>
      <c r="L358" s="125"/>
      <c r="M358" s="125"/>
      <c r="N358" s="125"/>
      <c r="O358" s="125"/>
      <c r="P358" s="125"/>
      <c r="Q358" s="125"/>
      <c r="R358" s="125"/>
    </row>
    <row r="359" spans="1:18" ht="15.75" customHeight="1">
      <c r="A359" s="125"/>
      <c r="B359" s="125"/>
      <c r="C359" s="125"/>
      <c r="D359" s="125"/>
      <c r="E359" s="125"/>
      <c r="F359" s="125"/>
      <c r="G359" s="125"/>
      <c r="H359" s="125"/>
      <c r="I359" s="125"/>
      <c r="J359" s="125"/>
      <c r="K359" s="125"/>
      <c r="L359" s="125"/>
      <c r="M359" s="125"/>
      <c r="N359" s="125"/>
      <c r="O359" s="125"/>
      <c r="P359" s="125"/>
      <c r="Q359" s="125"/>
      <c r="R359" s="125"/>
    </row>
    <row r="360" spans="1:18" ht="15.75" customHeight="1">
      <c r="A360" s="125"/>
      <c r="B360" s="125"/>
      <c r="C360" s="125"/>
      <c r="D360" s="125"/>
      <c r="E360" s="125"/>
      <c r="F360" s="125"/>
      <c r="G360" s="125"/>
      <c r="H360" s="125"/>
      <c r="I360" s="125"/>
      <c r="J360" s="125"/>
      <c r="K360" s="125"/>
      <c r="L360" s="125"/>
      <c r="M360" s="125"/>
      <c r="N360" s="125"/>
      <c r="O360" s="125"/>
      <c r="P360" s="125"/>
      <c r="Q360" s="125"/>
      <c r="R360" s="125"/>
    </row>
    <row r="361" spans="1:18" ht="15.75" customHeight="1">
      <c r="A361" s="125"/>
      <c r="B361" s="125"/>
      <c r="C361" s="125"/>
      <c r="D361" s="125"/>
      <c r="E361" s="125"/>
      <c r="F361" s="125"/>
      <c r="G361" s="125"/>
      <c r="H361" s="125"/>
      <c r="I361" s="125"/>
      <c r="J361" s="125"/>
      <c r="K361" s="125"/>
      <c r="L361" s="125"/>
      <c r="M361" s="125"/>
      <c r="N361" s="125"/>
      <c r="O361" s="125"/>
      <c r="P361" s="125"/>
      <c r="Q361" s="125"/>
      <c r="R361" s="125"/>
    </row>
    <row r="362" spans="1:18" ht="15.75" customHeight="1">
      <c r="A362" s="125"/>
      <c r="B362" s="125"/>
      <c r="C362" s="125"/>
      <c r="D362" s="125"/>
      <c r="E362" s="125"/>
      <c r="F362" s="125"/>
      <c r="G362" s="125"/>
      <c r="H362" s="125"/>
      <c r="I362" s="125"/>
      <c r="J362" s="125"/>
      <c r="K362" s="125"/>
      <c r="L362" s="125"/>
      <c r="M362" s="125"/>
      <c r="N362" s="125"/>
      <c r="O362" s="125"/>
      <c r="P362" s="125"/>
      <c r="Q362" s="125"/>
      <c r="R362" s="125"/>
    </row>
    <row r="363" spans="1:18" ht="15.75" customHeight="1">
      <c r="A363" s="125"/>
      <c r="B363" s="125"/>
      <c r="C363" s="125"/>
      <c r="D363" s="125"/>
      <c r="E363" s="125"/>
      <c r="F363" s="125"/>
      <c r="G363" s="125"/>
      <c r="H363" s="125"/>
      <c r="I363" s="125"/>
      <c r="J363" s="125"/>
      <c r="K363" s="125"/>
      <c r="L363" s="125"/>
      <c r="M363" s="125"/>
      <c r="N363" s="125"/>
      <c r="O363" s="125"/>
      <c r="P363" s="125"/>
      <c r="Q363" s="125"/>
      <c r="R363" s="125"/>
    </row>
    <row r="364" spans="1:18" ht="15.75" customHeight="1">
      <c r="A364" s="125"/>
      <c r="B364" s="125"/>
      <c r="C364" s="125"/>
      <c r="D364" s="125"/>
      <c r="E364" s="125"/>
      <c r="F364" s="125"/>
      <c r="G364" s="125"/>
      <c r="H364" s="125"/>
      <c r="I364" s="125"/>
      <c r="J364" s="125"/>
      <c r="K364" s="125"/>
      <c r="L364" s="125"/>
      <c r="M364" s="125"/>
      <c r="N364" s="125"/>
      <c r="O364" s="125"/>
      <c r="P364" s="125"/>
      <c r="Q364" s="125"/>
      <c r="R364" s="125"/>
    </row>
    <row r="365" spans="1:18" ht="15.75" customHeight="1">
      <c r="A365" s="125"/>
      <c r="B365" s="125"/>
      <c r="C365" s="125"/>
      <c r="D365" s="125"/>
      <c r="E365" s="125"/>
      <c r="F365" s="125"/>
      <c r="G365" s="125"/>
      <c r="H365" s="125"/>
      <c r="I365" s="125"/>
      <c r="J365" s="125"/>
      <c r="K365" s="125"/>
      <c r="L365" s="125"/>
      <c r="M365" s="125"/>
      <c r="N365" s="125"/>
      <c r="O365" s="125"/>
      <c r="P365" s="125"/>
      <c r="Q365" s="125"/>
      <c r="R365" s="125"/>
    </row>
    <row r="366" spans="1:18" ht="15.75" customHeight="1">
      <c r="A366" s="125"/>
      <c r="B366" s="125"/>
      <c r="C366" s="125"/>
      <c r="D366" s="125"/>
      <c r="E366" s="125"/>
      <c r="F366" s="125"/>
      <c r="G366" s="125"/>
      <c r="H366" s="125"/>
      <c r="I366" s="125"/>
      <c r="J366" s="125"/>
      <c r="K366" s="125"/>
      <c r="L366" s="125"/>
      <c r="M366" s="125"/>
      <c r="N366" s="125"/>
      <c r="O366" s="125"/>
      <c r="P366" s="125"/>
      <c r="Q366" s="125"/>
      <c r="R366" s="125"/>
    </row>
    <row r="367" spans="1:18" ht="15.75" customHeight="1">
      <c r="A367" s="125"/>
      <c r="B367" s="125"/>
      <c r="C367" s="125"/>
      <c r="D367" s="125"/>
      <c r="E367" s="125"/>
      <c r="F367" s="125"/>
      <c r="G367" s="125"/>
      <c r="H367" s="125"/>
      <c r="I367" s="125"/>
      <c r="J367" s="125"/>
      <c r="K367" s="125"/>
      <c r="L367" s="125"/>
      <c r="M367" s="125"/>
      <c r="N367" s="125"/>
      <c r="O367" s="125"/>
      <c r="P367" s="125"/>
      <c r="Q367" s="125"/>
      <c r="R367" s="125"/>
    </row>
    <row r="368" spans="1:18" ht="15.75" customHeight="1">
      <c r="A368" s="125"/>
      <c r="B368" s="125"/>
      <c r="C368" s="125"/>
      <c r="D368" s="125"/>
      <c r="E368" s="125"/>
      <c r="F368" s="125"/>
      <c r="G368" s="125"/>
      <c r="H368" s="125"/>
      <c r="I368" s="125"/>
      <c r="J368" s="125"/>
      <c r="K368" s="125"/>
      <c r="L368" s="125"/>
      <c r="M368" s="125"/>
      <c r="N368" s="125"/>
      <c r="O368" s="125"/>
      <c r="P368" s="125"/>
      <c r="Q368" s="125"/>
      <c r="R368" s="125"/>
    </row>
    <row r="369" spans="1:18" ht="15.75" customHeight="1">
      <c r="A369" s="125"/>
      <c r="B369" s="125"/>
      <c r="C369" s="125"/>
      <c r="D369" s="125"/>
      <c r="E369" s="125"/>
      <c r="F369" s="125"/>
      <c r="G369" s="125"/>
      <c r="H369" s="125"/>
      <c r="I369" s="125"/>
      <c r="J369" s="125"/>
      <c r="K369" s="125"/>
      <c r="L369" s="125"/>
      <c r="M369" s="125"/>
      <c r="N369" s="125"/>
      <c r="O369" s="125"/>
      <c r="P369" s="125"/>
      <c r="Q369" s="125"/>
      <c r="R369" s="125"/>
    </row>
    <row r="370" spans="1:18" ht="15.75" customHeight="1">
      <c r="A370" s="125"/>
      <c r="B370" s="125"/>
      <c r="C370" s="125"/>
      <c r="D370" s="125"/>
      <c r="E370" s="125"/>
      <c r="F370" s="125"/>
      <c r="G370" s="125"/>
      <c r="H370" s="125"/>
      <c r="I370" s="125"/>
      <c r="J370" s="125"/>
      <c r="K370" s="125"/>
      <c r="L370" s="125"/>
      <c r="M370" s="125"/>
      <c r="N370" s="125"/>
      <c r="O370" s="125"/>
      <c r="P370" s="125"/>
      <c r="Q370" s="125"/>
      <c r="R370" s="125"/>
    </row>
    <row r="371" spans="1:18" ht="15.75" customHeight="1">
      <c r="A371" s="125"/>
      <c r="B371" s="125"/>
      <c r="C371" s="125"/>
      <c r="D371" s="125"/>
      <c r="E371" s="125"/>
      <c r="F371" s="125"/>
      <c r="G371" s="125"/>
      <c r="H371" s="125"/>
      <c r="I371" s="125"/>
      <c r="J371" s="125"/>
      <c r="K371" s="125"/>
      <c r="L371" s="125"/>
      <c r="M371" s="125"/>
      <c r="N371" s="125"/>
      <c r="O371" s="125"/>
      <c r="P371" s="125"/>
      <c r="Q371" s="125"/>
      <c r="R371" s="125"/>
    </row>
    <row r="372" spans="1:18" ht="15.75" customHeight="1">
      <c r="A372" s="125"/>
      <c r="B372" s="125"/>
      <c r="C372" s="125"/>
      <c r="D372" s="125"/>
      <c r="E372" s="125"/>
      <c r="F372" s="125"/>
      <c r="G372" s="125"/>
      <c r="H372" s="125"/>
      <c r="I372" s="125"/>
      <c r="J372" s="125"/>
      <c r="K372" s="125"/>
      <c r="L372" s="125"/>
      <c r="M372" s="125"/>
      <c r="N372" s="125"/>
      <c r="O372" s="125"/>
      <c r="P372" s="125"/>
      <c r="Q372" s="125"/>
      <c r="R372" s="125"/>
    </row>
    <row r="373" spans="1:18" ht="15.75" customHeight="1">
      <c r="A373" s="125"/>
      <c r="B373" s="125"/>
      <c r="C373" s="125"/>
      <c r="D373" s="125"/>
      <c r="E373" s="125"/>
      <c r="F373" s="125"/>
      <c r="G373" s="125"/>
      <c r="H373" s="125"/>
      <c r="I373" s="125"/>
      <c r="J373" s="125"/>
      <c r="K373" s="125"/>
      <c r="L373" s="125"/>
      <c r="M373" s="125"/>
      <c r="N373" s="125"/>
      <c r="O373" s="125"/>
      <c r="P373" s="125"/>
      <c r="Q373" s="125"/>
      <c r="R373" s="125"/>
    </row>
    <row r="374" spans="1:18" ht="15.75" customHeight="1">
      <c r="A374" s="125"/>
      <c r="B374" s="125"/>
      <c r="C374" s="125"/>
      <c r="D374" s="125"/>
      <c r="E374" s="125"/>
      <c r="F374" s="125"/>
      <c r="G374" s="125"/>
      <c r="H374" s="125"/>
      <c r="I374" s="125"/>
      <c r="J374" s="125"/>
      <c r="K374" s="125"/>
      <c r="L374" s="125"/>
      <c r="M374" s="125"/>
      <c r="N374" s="125"/>
      <c r="O374" s="125"/>
      <c r="P374" s="125"/>
      <c r="Q374" s="125"/>
      <c r="R374" s="125"/>
    </row>
    <row r="375" spans="1:18" ht="15.75" customHeight="1">
      <c r="A375" s="125"/>
      <c r="B375" s="125"/>
      <c r="C375" s="125"/>
      <c r="D375" s="125"/>
      <c r="E375" s="125"/>
      <c r="F375" s="125"/>
      <c r="G375" s="125"/>
      <c r="H375" s="125"/>
      <c r="I375" s="125"/>
      <c r="J375" s="125"/>
      <c r="K375" s="125"/>
      <c r="L375" s="125"/>
      <c r="M375" s="125"/>
      <c r="N375" s="125"/>
      <c r="O375" s="125"/>
      <c r="P375" s="125"/>
      <c r="Q375" s="125"/>
      <c r="R375" s="125"/>
    </row>
    <row r="376" spans="1:18" ht="15.75" customHeight="1">
      <c r="A376" s="125"/>
      <c r="B376" s="125"/>
      <c r="C376" s="125"/>
      <c r="D376" s="125"/>
      <c r="E376" s="125"/>
      <c r="F376" s="125"/>
      <c r="G376" s="125"/>
      <c r="H376" s="125"/>
      <c r="I376" s="125"/>
      <c r="J376" s="125"/>
      <c r="K376" s="125"/>
      <c r="L376" s="125"/>
      <c r="M376" s="125"/>
      <c r="N376" s="125"/>
      <c r="O376" s="125"/>
      <c r="P376" s="125"/>
      <c r="Q376" s="125"/>
      <c r="R376" s="125"/>
    </row>
    <row r="377" spans="1:18" ht="15.75" customHeight="1">
      <c r="A377" s="125"/>
      <c r="B377" s="125"/>
      <c r="C377" s="125"/>
      <c r="D377" s="125"/>
      <c r="E377" s="125"/>
      <c r="F377" s="125"/>
      <c r="G377" s="125"/>
      <c r="H377" s="125"/>
      <c r="I377" s="125"/>
      <c r="J377" s="125"/>
      <c r="K377" s="125"/>
      <c r="L377" s="125"/>
      <c r="M377" s="125"/>
      <c r="N377" s="125"/>
      <c r="O377" s="125"/>
      <c r="P377" s="125"/>
      <c r="Q377" s="125"/>
      <c r="R377" s="125"/>
    </row>
    <row r="378" spans="1:18" ht="15.75" customHeight="1">
      <c r="A378" s="125"/>
      <c r="B378" s="125"/>
      <c r="C378" s="125"/>
      <c r="D378" s="125"/>
      <c r="E378" s="125"/>
      <c r="F378" s="125"/>
      <c r="G378" s="125"/>
      <c r="H378" s="125"/>
      <c r="I378" s="125"/>
      <c r="J378" s="125"/>
      <c r="K378" s="125"/>
      <c r="L378" s="125"/>
      <c r="M378" s="125"/>
      <c r="N378" s="125"/>
      <c r="O378" s="125"/>
      <c r="P378" s="125"/>
      <c r="Q378" s="125"/>
      <c r="R378" s="125"/>
    </row>
    <row r="379" spans="1:18" ht="15.75" customHeight="1">
      <c r="A379" s="125"/>
      <c r="B379" s="125"/>
      <c r="C379" s="125"/>
      <c r="D379" s="125"/>
      <c r="E379" s="125"/>
      <c r="F379" s="125"/>
      <c r="G379" s="125"/>
      <c r="H379" s="125"/>
      <c r="I379" s="125"/>
      <c r="J379" s="125"/>
      <c r="K379" s="125"/>
      <c r="L379" s="125"/>
      <c r="M379" s="125"/>
      <c r="N379" s="125"/>
      <c r="O379" s="125"/>
      <c r="P379" s="125"/>
      <c r="Q379" s="125"/>
      <c r="R379" s="125"/>
    </row>
    <row r="380" spans="1:18" ht="15.75" customHeight="1">
      <c r="A380" s="125"/>
      <c r="B380" s="125"/>
      <c r="C380" s="125"/>
      <c r="D380" s="125"/>
      <c r="E380" s="125"/>
      <c r="F380" s="125"/>
      <c r="G380" s="125"/>
      <c r="H380" s="125"/>
      <c r="I380" s="125"/>
      <c r="J380" s="125"/>
      <c r="K380" s="125"/>
      <c r="L380" s="125"/>
      <c r="M380" s="125"/>
      <c r="N380" s="125"/>
      <c r="O380" s="125"/>
      <c r="P380" s="125"/>
      <c r="Q380" s="125"/>
      <c r="R380" s="125"/>
    </row>
    <row r="381" spans="1:18" ht="15.75" customHeight="1">
      <c r="A381" s="125"/>
      <c r="B381" s="125"/>
      <c r="C381" s="125"/>
      <c r="D381" s="125"/>
      <c r="E381" s="125"/>
      <c r="F381" s="125"/>
      <c r="G381" s="125"/>
      <c r="H381" s="125"/>
      <c r="I381" s="125"/>
      <c r="J381" s="125"/>
      <c r="K381" s="125"/>
      <c r="L381" s="125"/>
      <c r="M381" s="125"/>
      <c r="N381" s="125"/>
      <c r="O381" s="125"/>
      <c r="P381" s="125"/>
      <c r="Q381" s="125"/>
      <c r="R381" s="125"/>
    </row>
    <row r="382" spans="1:18" ht="15.75" customHeight="1">
      <c r="A382" s="125"/>
      <c r="B382" s="125"/>
      <c r="C382" s="125"/>
      <c r="D382" s="125"/>
      <c r="E382" s="125"/>
      <c r="F382" s="125"/>
      <c r="G382" s="125"/>
      <c r="H382" s="125"/>
      <c r="I382" s="125"/>
      <c r="J382" s="125"/>
      <c r="K382" s="125"/>
      <c r="L382" s="125"/>
      <c r="M382" s="125"/>
      <c r="N382" s="125"/>
      <c r="O382" s="125"/>
      <c r="P382" s="125"/>
      <c r="Q382" s="125"/>
      <c r="R382" s="125"/>
    </row>
    <row r="383" spans="1:18" ht="15.75" customHeight="1">
      <c r="A383" s="125"/>
      <c r="B383" s="125"/>
      <c r="C383" s="125"/>
      <c r="D383" s="125"/>
      <c r="E383" s="125"/>
      <c r="F383" s="125"/>
      <c r="G383" s="125"/>
      <c r="H383" s="125"/>
      <c r="I383" s="125"/>
      <c r="J383" s="125"/>
      <c r="K383" s="125"/>
      <c r="L383" s="125"/>
      <c r="M383" s="125"/>
      <c r="N383" s="125"/>
      <c r="O383" s="125"/>
      <c r="P383" s="125"/>
      <c r="Q383" s="125"/>
      <c r="R383" s="125"/>
    </row>
    <row r="384" spans="1:18" ht="15.75" customHeight="1">
      <c r="A384" s="125"/>
      <c r="B384" s="125"/>
      <c r="C384" s="125"/>
      <c r="D384" s="125"/>
      <c r="E384" s="125"/>
      <c r="F384" s="125"/>
      <c r="G384" s="125"/>
      <c r="H384" s="125"/>
      <c r="I384" s="125"/>
      <c r="J384" s="125"/>
      <c r="K384" s="125"/>
      <c r="L384" s="125"/>
      <c r="M384" s="125"/>
      <c r="N384" s="125"/>
      <c r="O384" s="125"/>
      <c r="P384" s="125"/>
      <c r="Q384" s="125"/>
      <c r="R384" s="125"/>
    </row>
    <row r="385" spans="1:18" ht="15.75" customHeight="1">
      <c r="A385" s="125"/>
      <c r="B385" s="125"/>
      <c r="C385" s="125"/>
      <c r="D385" s="125"/>
      <c r="E385" s="125"/>
      <c r="F385" s="125"/>
      <c r="G385" s="125"/>
      <c r="H385" s="125"/>
      <c r="I385" s="125"/>
      <c r="J385" s="125"/>
      <c r="K385" s="125"/>
      <c r="L385" s="125"/>
      <c r="M385" s="125"/>
      <c r="N385" s="125"/>
      <c r="O385" s="125"/>
      <c r="P385" s="125"/>
      <c r="Q385" s="125"/>
      <c r="R385" s="125"/>
    </row>
    <row r="386" spans="1:18" ht="15.75" customHeight="1">
      <c r="A386" s="125"/>
      <c r="B386" s="125"/>
      <c r="C386" s="125"/>
      <c r="D386" s="125"/>
      <c r="E386" s="125"/>
      <c r="F386" s="125"/>
      <c r="G386" s="125"/>
      <c r="H386" s="125"/>
      <c r="I386" s="125"/>
      <c r="J386" s="125"/>
      <c r="K386" s="125"/>
      <c r="L386" s="125"/>
      <c r="M386" s="125"/>
      <c r="N386" s="125"/>
      <c r="O386" s="125"/>
      <c r="P386" s="125"/>
      <c r="Q386" s="125"/>
      <c r="R386" s="125"/>
    </row>
    <row r="387" spans="1:18" ht="15.75" customHeight="1">
      <c r="A387" s="125"/>
      <c r="B387" s="125"/>
      <c r="C387" s="125"/>
      <c r="D387" s="125"/>
      <c r="E387" s="125"/>
      <c r="F387" s="125"/>
      <c r="G387" s="125"/>
      <c r="H387" s="125"/>
      <c r="I387" s="125"/>
      <c r="J387" s="125"/>
      <c r="K387" s="125"/>
      <c r="L387" s="125"/>
      <c r="M387" s="125"/>
      <c r="N387" s="125"/>
      <c r="O387" s="125"/>
      <c r="P387" s="125"/>
      <c r="Q387" s="125"/>
      <c r="R387" s="125"/>
    </row>
    <row r="388" spans="1:18" ht="15.75" customHeight="1">
      <c r="A388" s="125"/>
      <c r="B388" s="125"/>
      <c r="C388" s="125"/>
      <c r="D388" s="125"/>
      <c r="E388" s="125"/>
      <c r="F388" s="125"/>
      <c r="G388" s="125"/>
      <c r="H388" s="125"/>
      <c r="I388" s="125"/>
      <c r="J388" s="125"/>
      <c r="K388" s="125"/>
      <c r="L388" s="125"/>
      <c r="M388" s="125"/>
      <c r="N388" s="125"/>
      <c r="O388" s="125"/>
      <c r="P388" s="125"/>
      <c r="Q388" s="125"/>
      <c r="R388" s="125"/>
    </row>
    <row r="389" spans="1:18" ht="15.75" customHeight="1">
      <c r="A389" s="125"/>
      <c r="B389" s="125"/>
      <c r="C389" s="125"/>
      <c r="D389" s="125"/>
      <c r="E389" s="125"/>
      <c r="F389" s="125"/>
      <c r="G389" s="125"/>
      <c r="H389" s="125"/>
      <c r="I389" s="125"/>
      <c r="J389" s="125"/>
      <c r="K389" s="125"/>
      <c r="L389" s="125"/>
      <c r="M389" s="125"/>
      <c r="N389" s="125"/>
      <c r="O389" s="125"/>
      <c r="P389" s="125"/>
      <c r="Q389" s="125"/>
      <c r="R389" s="125"/>
    </row>
    <row r="390" spans="1:18" ht="15.75" customHeight="1">
      <c r="A390" s="125"/>
      <c r="B390" s="125"/>
      <c r="C390" s="125"/>
      <c r="D390" s="125"/>
      <c r="E390" s="125"/>
      <c r="F390" s="125"/>
      <c r="G390" s="125"/>
      <c r="H390" s="125"/>
      <c r="I390" s="125"/>
      <c r="J390" s="125"/>
      <c r="K390" s="125"/>
      <c r="L390" s="125"/>
      <c r="M390" s="125"/>
      <c r="N390" s="125"/>
      <c r="O390" s="125"/>
      <c r="P390" s="125"/>
      <c r="Q390" s="125"/>
      <c r="R390" s="125"/>
    </row>
    <row r="391" spans="1:18" ht="15.75" customHeight="1">
      <c r="A391" s="125"/>
      <c r="B391" s="125"/>
      <c r="C391" s="125"/>
      <c r="D391" s="125"/>
      <c r="E391" s="125"/>
      <c r="F391" s="125"/>
      <c r="G391" s="125"/>
      <c r="H391" s="125"/>
      <c r="I391" s="125"/>
      <c r="J391" s="125"/>
      <c r="K391" s="125"/>
      <c r="L391" s="125"/>
      <c r="M391" s="125"/>
      <c r="N391" s="125"/>
      <c r="O391" s="125"/>
      <c r="P391" s="125"/>
      <c r="Q391" s="125"/>
      <c r="R391" s="125"/>
    </row>
    <row r="392" spans="1:18" ht="15.75" customHeight="1">
      <c r="A392" s="125"/>
      <c r="B392" s="125"/>
      <c r="C392" s="125"/>
      <c r="D392" s="125"/>
      <c r="E392" s="125"/>
      <c r="F392" s="125"/>
      <c r="G392" s="125"/>
      <c r="H392" s="125"/>
      <c r="I392" s="125"/>
      <c r="J392" s="125"/>
      <c r="K392" s="125"/>
      <c r="L392" s="125"/>
      <c r="M392" s="125"/>
      <c r="N392" s="125"/>
      <c r="O392" s="125"/>
      <c r="P392" s="125"/>
      <c r="Q392" s="125"/>
      <c r="R392" s="125"/>
    </row>
    <row r="393" spans="1:18" ht="15.75" customHeight="1">
      <c r="A393" s="125"/>
      <c r="B393" s="125"/>
      <c r="C393" s="125"/>
      <c r="D393" s="125"/>
      <c r="E393" s="125"/>
      <c r="F393" s="125"/>
      <c r="G393" s="125"/>
      <c r="H393" s="125"/>
      <c r="I393" s="125"/>
      <c r="J393" s="125"/>
      <c r="K393" s="125"/>
      <c r="L393" s="125"/>
      <c r="M393" s="125"/>
      <c r="N393" s="125"/>
      <c r="O393" s="125"/>
      <c r="P393" s="125"/>
      <c r="Q393" s="125"/>
      <c r="R393" s="125"/>
    </row>
    <row r="394" spans="1:18" ht="15.75" customHeight="1">
      <c r="A394" s="125"/>
      <c r="B394" s="125"/>
      <c r="C394" s="125"/>
      <c r="D394" s="125"/>
      <c r="E394" s="125"/>
      <c r="F394" s="125"/>
      <c r="G394" s="125"/>
      <c r="H394" s="125"/>
      <c r="I394" s="125"/>
      <c r="J394" s="125"/>
      <c r="K394" s="125"/>
      <c r="L394" s="125"/>
      <c r="M394" s="125"/>
      <c r="N394" s="125"/>
      <c r="O394" s="125"/>
      <c r="P394" s="125"/>
      <c r="Q394" s="125"/>
      <c r="R394" s="125"/>
    </row>
    <row r="395" spans="1:18" ht="15.75" customHeight="1">
      <c r="A395" s="125"/>
      <c r="B395" s="125"/>
      <c r="C395" s="125"/>
      <c r="D395" s="125"/>
      <c r="E395" s="125"/>
      <c r="F395" s="125"/>
      <c r="G395" s="125"/>
      <c r="H395" s="125"/>
      <c r="I395" s="125"/>
      <c r="J395" s="125"/>
      <c r="K395" s="125"/>
      <c r="L395" s="125"/>
      <c r="M395" s="125"/>
      <c r="N395" s="125"/>
      <c r="O395" s="125"/>
      <c r="P395" s="125"/>
      <c r="Q395" s="125"/>
      <c r="R395" s="125"/>
    </row>
    <row r="396" spans="1:18" ht="15.75" customHeight="1">
      <c r="A396" s="125"/>
      <c r="B396" s="125"/>
      <c r="C396" s="125"/>
      <c r="D396" s="125"/>
      <c r="E396" s="125"/>
      <c r="F396" s="125"/>
      <c r="G396" s="125"/>
      <c r="H396" s="125"/>
      <c r="I396" s="125"/>
      <c r="J396" s="125"/>
      <c r="K396" s="125"/>
      <c r="L396" s="125"/>
      <c r="M396" s="125"/>
      <c r="N396" s="125"/>
      <c r="O396" s="125"/>
      <c r="P396" s="125"/>
      <c r="Q396" s="125"/>
      <c r="R396" s="125"/>
    </row>
    <row r="397" spans="1:18" ht="15.75" customHeight="1">
      <c r="A397" s="125"/>
      <c r="B397" s="125"/>
      <c r="C397" s="125"/>
      <c r="D397" s="125"/>
      <c r="E397" s="125"/>
      <c r="F397" s="125"/>
      <c r="G397" s="125"/>
      <c r="H397" s="125"/>
      <c r="I397" s="125"/>
      <c r="J397" s="125"/>
      <c r="K397" s="125"/>
      <c r="L397" s="125"/>
      <c r="M397" s="125"/>
      <c r="N397" s="125"/>
      <c r="O397" s="125"/>
      <c r="P397" s="125"/>
      <c r="Q397" s="125"/>
      <c r="R397" s="125"/>
    </row>
    <row r="398" spans="1:18" ht="15.75" customHeight="1">
      <c r="A398" s="125"/>
      <c r="B398" s="125"/>
      <c r="C398" s="125"/>
      <c r="D398" s="125"/>
      <c r="E398" s="125"/>
      <c r="F398" s="125"/>
      <c r="G398" s="125"/>
      <c r="H398" s="125"/>
      <c r="I398" s="125"/>
      <c r="J398" s="125"/>
      <c r="K398" s="125"/>
      <c r="L398" s="125"/>
      <c r="M398" s="125"/>
      <c r="N398" s="125"/>
      <c r="O398" s="125"/>
      <c r="P398" s="125"/>
      <c r="Q398" s="125"/>
      <c r="R398" s="125"/>
    </row>
    <row r="399" spans="1:18" ht="15.75" customHeight="1">
      <c r="A399" s="125"/>
      <c r="B399" s="125"/>
      <c r="C399" s="125"/>
      <c r="D399" s="125"/>
      <c r="E399" s="125"/>
      <c r="F399" s="125"/>
      <c r="G399" s="125"/>
      <c r="H399" s="125"/>
      <c r="I399" s="125"/>
      <c r="J399" s="125"/>
      <c r="K399" s="125"/>
      <c r="L399" s="125"/>
      <c r="M399" s="125"/>
      <c r="N399" s="125"/>
      <c r="O399" s="125"/>
      <c r="P399" s="125"/>
      <c r="Q399" s="125"/>
      <c r="R399" s="125"/>
    </row>
    <row r="400" spans="1:18" ht="15.75" customHeight="1">
      <c r="A400" s="125"/>
      <c r="B400" s="125"/>
      <c r="C400" s="125"/>
      <c r="D400" s="125"/>
      <c r="E400" s="125"/>
      <c r="F400" s="125"/>
      <c r="G400" s="125"/>
      <c r="H400" s="125"/>
      <c r="I400" s="125"/>
      <c r="J400" s="125"/>
      <c r="K400" s="125"/>
      <c r="L400" s="125"/>
      <c r="M400" s="125"/>
      <c r="N400" s="125"/>
      <c r="O400" s="125"/>
      <c r="P400" s="125"/>
      <c r="Q400" s="125"/>
      <c r="R400" s="125"/>
    </row>
    <row r="401" spans="1:18" ht="15.75" customHeight="1">
      <c r="A401" s="125"/>
      <c r="B401" s="125"/>
      <c r="C401" s="125"/>
      <c r="D401" s="125"/>
      <c r="E401" s="125"/>
      <c r="F401" s="125"/>
      <c r="G401" s="125"/>
      <c r="H401" s="125"/>
      <c r="I401" s="125"/>
      <c r="J401" s="125"/>
      <c r="K401" s="125"/>
      <c r="L401" s="125"/>
      <c r="M401" s="125"/>
      <c r="N401" s="125"/>
      <c r="O401" s="125"/>
      <c r="P401" s="125"/>
      <c r="Q401" s="125"/>
      <c r="R401" s="125"/>
    </row>
    <row r="402" spans="1:18" ht="15.75" customHeight="1">
      <c r="A402" s="125"/>
      <c r="B402" s="125"/>
      <c r="C402" s="125"/>
      <c r="D402" s="125"/>
      <c r="E402" s="125"/>
      <c r="F402" s="125"/>
      <c r="G402" s="125"/>
      <c r="H402" s="125"/>
      <c r="I402" s="125"/>
      <c r="J402" s="125"/>
      <c r="K402" s="125"/>
      <c r="L402" s="125"/>
      <c r="M402" s="125"/>
      <c r="N402" s="125"/>
      <c r="O402" s="125"/>
      <c r="P402" s="125"/>
      <c r="Q402" s="125"/>
      <c r="R402" s="125"/>
    </row>
    <row r="403" spans="1:18" ht="15.75" customHeight="1">
      <c r="A403" s="125"/>
      <c r="B403" s="125"/>
      <c r="C403" s="125"/>
      <c r="D403" s="125"/>
      <c r="E403" s="125"/>
      <c r="F403" s="125"/>
      <c r="G403" s="125"/>
      <c r="H403" s="125"/>
      <c r="I403" s="125"/>
      <c r="J403" s="125"/>
      <c r="K403" s="125"/>
      <c r="L403" s="125"/>
      <c r="M403" s="125"/>
      <c r="N403" s="125"/>
      <c r="O403" s="125"/>
      <c r="P403" s="125"/>
      <c r="Q403" s="125"/>
      <c r="R403" s="125"/>
    </row>
    <row r="404" spans="1:18" ht="15.75" customHeight="1">
      <c r="A404" s="125"/>
      <c r="B404" s="125"/>
      <c r="C404" s="125"/>
      <c r="D404" s="125"/>
      <c r="E404" s="125"/>
      <c r="F404" s="125"/>
      <c r="G404" s="125"/>
      <c r="H404" s="125"/>
      <c r="I404" s="125"/>
      <c r="J404" s="125"/>
      <c r="K404" s="125"/>
      <c r="L404" s="125"/>
      <c r="M404" s="125"/>
      <c r="N404" s="125"/>
      <c r="O404" s="125"/>
      <c r="P404" s="125"/>
      <c r="Q404" s="125"/>
      <c r="R404" s="125"/>
    </row>
    <row r="405" spans="1:18" ht="15.75" customHeight="1">
      <c r="A405" s="125"/>
      <c r="B405" s="125"/>
      <c r="C405" s="125"/>
      <c r="D405" s="125"/>
      <c r="E405" s="125"/>
      <c r="F405" s="125"/>
      <c r="G405" s="125"/>
      <c r="H405" s="125"/>
      <c r="I405" s="125"/>
      <c r="J405" s="125"/>
      <c r="K405" s="125"/>
      <c r="L405" s="125"/>
      <c r="M405" s="125"/>
      <c r="N405" s="125"/>
      <c r="O405" s="125"/>
      <c r="P405" s="125"/>
      <c r="Q405" s="125"/>
      <c r="R405" s="125"/>
    </row>
    <row r="406" spans="1:18" ht="15.75" customHeight="1">
      <c r="A406" s="125"/>
      <c r="B406" s="125"/>
      <c r="C406" s="125"/>
      <c r="D406" s="125"/>
      <c r="E406" s="125"/>
      <c r="F406" s="125"/>
      <c r="G406" s="125"/>
      <c r="H406" s="125"/>
      <c r="I406" s="125"/>
      <c r="J406" s="125"/>
      <c r="K406" s="125"/>
      <c r="L406" s="125"/>
      <c r="M406" s="125"/>
      <c r="N406" s="125"/>
      <c r="O406" s="125"/>
      <c r="P406" s="125"/>
      <c r="Q406" s="125"/>
      <c r="R406" s="125"/>
    </row>
    <row r="407" spans="1:18" ht="15.75" customHeight="1">
      <c r="A407" s="125"/>
      <c r="B407" s="125"/>
      <c r="C407" s="125"/>
      <c r="D407" s="125"/>
      <c r="E407" s="125"/>
      <c r="F407" s="125"/>
      <c r="G407" s="125"/>
      <c r="H407" s="125"/>
      <c r="I407" s="125"/>
      <c r="J407" s="125"/>
      <c r="K407" s="125"/>
      <c r="L407" s="125"/>
      <c r="M407" s="125"/>
      <c r="N407" s="125"/>
      <c r="O407" s="125"/>
      <c r="P407" s="125"/>
      <c r="Q407" s="125"/>
      <c r="R407" s="125"/>
    </row>
    <row r="408" spans="1:18" ht="15.75" customHeight="1">
      <c r="A408" s="125"/>
      <c r="B408" s="125"/>
      <c r="C408" s="125"/>
      <c r="D408" s="125"/>
      <c r="E408" s="125"/>
      <c r="F408" s="125"/>
      <c r="G408" s="125"/>
      <c r="H408" s="125"/>
      <c r="I408" s="125"/>
      <c r="J408" s="125"/>
      <c r="K408" s="125"/>
      <c r="L408" s="125"/>
      <c r="M408" s="125"/>
      <c r="N408" s="125"/>
      <c r="O408" s="125"/>
      <c r="P408" s="125"/>
      <c r="Q408" s="125"/>
      <c r="R408" s="125"/>
    </row>
    <row r="409" spans="1:18" ht="15.75" customHeight="1">
      <c r="A409" s="125"/>
      <c r="B409" s="125"/>
      <c r="C409" s="125"/>
      <c r="D409" s="125"/>
      <c r="E409" s="125"/>
      <c r="F409" s="125"/>
      <c r="G409" s="125"/>
      <c r="H409" s="125"/>
      <c r="I409" s="125"/>
      <c r="J409" s="125"/>
      <c r="K409" s="125"/>
      <c r="L409" s="125"/>
      <c r="M409" s="125"/>
      <c r="N409" s="125"/>
      <c r="O409" s="125"/>
      <c r="P409" s="125"/>
      <c r="Q409" s="125"/>
      <c r="R409" s="125"/>
    </row>
    <row r="410" spans="1:18" ht="15.75" customHeight="1">
      <c r="A410" s="125"/>
      <c r="B410" s="125"/>
      <c r="C410" s="125"/>
      <c r="D410" s="125"/>
      <c r="E410" s="125"/>
      <c r="F410" s="125"/>
      <c r="G410" s="125"/>
      <c r="H410" s="125"/>
      <c r="I410" s="125"/>
      <c r="J410" s="125"/>
      <c r="K410" s="125"/>
      <c r="L410" s="125"/>
      <c r="M410" s="125"/>
      <c r="N410" s="125"/>
      <c r="O410" s="125"/>
      <c r="P410" s="125"/>
      <c r="Q410" s="125"/>
      <c r="R410" s="125"/>
    </row>
    <row r="411" spans="1:18" ht="15.75" customHeight="1">
      <c r="A411" s="125"/>
      <c r="B411" s="125"/>
      <c r="C411" s="125"/>
      <c r="D411" s="125"/>
      <c r="E411" s="125"/>
      <c r="F411" s="125"/>
      <c r="G411" s="125"/>
      <c r="H411" s="125"/>
      <c r="I411" s="125"/>
      <c r="J411" s="125"/>
      <c r="K411" s="125"/>
      <c r="L411" s="125"/>
      <c r="M411" s="125"/>
      <c r="N411" s="125"/>
      <c r="O411" s="125"/>
      <c r="P411" s="125"/>
      <c r="Q411" s="125"/>
      <c r="R411" s="125"/>
    </row>
    <row r="412" spans="1:18" ht="15.75" customHeight="1">
      <c r="A412" s="125"/>
      <c r="B412" s="125"/>
      <c r="C412" s="125"/>
      <c r="D412" s="125"/>
      <c r="E412" s="125"/>
      <c r="F412" s="125"/>
      <c r="G412" s="125"/>
      <c r="H412" s="125"/>
      <c r="I412" s="125"/>
      <c r="J412" s="125"/>
      <c r="K412" s="125"/>
      <c r="L412" s="125"/>
      <c r="M412" s="125"/>
      <c r="N412" s="125"/>
      <c r="O412" s="125"/>
      <c r="P412" s="125"/>
      <c r="Q412" s="125"/>
      <c r="R412" s="125"/>
    </row>
    <row r="413" spans="1:18" ht="15.75" customHeight="1">
      <c r="A413" s="125"/>
      <c r="B413" s="125"/>
      <c r="C413" s="125"/>
      <c r="D413" s="125"/>
      <c r="E413" s="125"/>
      <c r="F413" s="125"/>
      <c r="G413" s="125"/>
      <c r="H413" s="125"/>
      <c r="I413" s="125"/>
      <c r="J413" s="125"/>
      <c r="K413" s="125"/>
      <c r="L413" s="125"/>
      <c r="M413" s="125"/>
      <c r="N413" s="125"/>
      <c r="O413" s="125"/>
      <c r="P413" s="125"/>
      <c r="Q413" s="125"/>
      <c r="R413" s="125"/>
    </row>
    <row r="414" spans="1:18" ht="15.75" customHeight="1">
      <c r="A414" s="125"/>
      <c r="B414" s="125"/>
      <c r="C414" s="125"/>
      <c r="D414" s="125"/>
      <c r="E414" s="125"/>
      <c r="F414" s="125"/>
      <c r="G414" s="125"/>
      <c r="H414" s="125"/>
      <c r="I414" s="125"/>
      <c r="J414" s="125"/>
      <c r="K414" s="125"/>
      <c r="L414" s="125"/>
      <c r="M414" s="125"/>
      <c r="N414" s="125"/>
      <c r="O414" s="125"/>
      <c r="P414" s="125"/>
      <c r="Q414" s="125"/>
      <c r="R414" s="125"/>
    </row>
    <row r="415" spans="1:18" ht="15.75" customHeight="1">
      <c r="A415" s="125"/>
      <c r="B415" s="125"/>
      <c r="C415" s="125"/>
      <c r="D415" s="125"/>
      <c r="E415" s="125"/>
      <c r="F415" s="125"/>
      <c r="G415" s="125"/>
      <c r="H415" s="125"/>
      <c r="I415" s="125"/>
      <c r="J415" s="125"/>
      <c r="K415" s="125"/>
      <c r="L415" s="125"/>
      <c r="M415" s="125"/>
      <c r="N415" s="125"/>
      <c r="O415" s="125"/>
      <c r="P415" s="125"/>
      <c r="Q415" s="125"/>
      <c r="R415" s="125"/>
    </row>
    <row r="416" spans="1:18" ht="15.75" customHeight="1">
      <c r="A416" s="125"/>
      <c r="B416" s="125"/>
      <c r="C416" s="125"/>
      <c r="D416" s="125"/>
      <c r="E416" s="125"/>
      <c r="F416" s="125"/>
      <c r="G416" s="125"/>
      <c r="H416" s="125"/>
      <c r="I416" s="125"/>
      <c r="J416" s="125"/>
      <c r="K416" s="125"/>
      <c r="L416" s="125"/>
      <c r="M416" s="125"/>
      <c r="N416" s="125"/>
      <c r="O416" s="125"/>
      <c r="P416" s="125"/>
      <c r="Q416" s="125"/>
      <c r="R416" s="125"/>
    </row>
    <row r="417" spans="1:18" ht="15.75" customHeight="1">
      <c r="A417" s="125"/>
      <c r="B417" s="125"/>
      <c r="C417" s="125"/>
      <c r="D417" s="125"/>
      <c r="E417" s="125"/>
      <c r="F417" s="125"/>
      <c r="G417" s="125"/>
      <c r="H417" s="125"/>
      <c r="I417" s="125"/>
      <c r="J417" s="125"/>
      <c r="K417" s="125"/>
      <c r="L417" s="125"/>
      <c r="M417" s="125"/>
      <c r="N417" s="125"/>
      <c r="O417" s="125"/>
      <c r="P417" s="125"/>
      <c r="Q417" s="125"/>
      <c r="R417" s="125"/>
    </row>
    <row r="418" spans="1:18" ht="15.75" customHeight="1">
      <c r="A418" s="125"/>
      <c r="B418" s="125"/>
      <c r="C418" s="125"/>
      <c r="D418" s="125"/>
      <c r="E418" s="125"/>
      <c r="F418" s="125"/>
      <c r="G418" s="125"/>
      <c r="H418" s="125"/>
      <c r="I418" s="125"/>
      <c r="J418" s="125"/>
      <c r="K418" s="125"/>
      <c r="L418" s="125"/>
      <c r="M418" s="125"/>
      <c r="N418" s="125"/>
      <c r="O418" s="125"/>
      <c r="P418" s="125"/>
      <c r="Q418" s="125"/>
      <c r="R418" s="125"/>
    </row>
    <row r="419" spans="1:18" ht="15.75" customHeight="1">
      <c r="A419" s="125"/>
      <c r="B419" s="125"/>
      <c r="C419" s="125"/>
      <c r="D419" s="125"/>
      <c r="E419" s="125"/>
      <c r="F419" s="125"/>
      <c r="G419" s="125"/>
      <c r="H419" s="125"/>
      <c r="I419" s="125"/>
      <c r="J419" s="125"/>
      <c r="K419" s="125"/>
      <c r="L419" s="125"/>
      <c r="M419" s="125"/>
      <c r="N419" s="125"/>
      <c r="O419" s="125"/>
      <c r="P419" s="125"/>
      <c r="Q419" s="125"/>
      <c r="R419" s="125"/>
    </row>
    <row r="420" spans="1:18" ht="15.75" customHeight="1">
      <c r="A420" s="125"/>
      <c r="B420" s="125"/>
      <c r="C420" s="125"/>
      <c r="D420" s="125"/>
      <c r="E420" s="125"/>
      <c r="F420" s="125"/>
      <c r="G420" s="125"/>
      <c r="H420" s="125"/>
      <c r="I420" s="125"/>
      <c r="J420" s="125"/>
      <c r="K420" s="125"/>
      <c r="L420" s="125"/>
      <c r="M420" s="125"/>
      <c r="N420" s="125"/>
      <c r="O420" s="125"/>
      <c r="P420" s="125"/>
      <c r="Q420" s="125"/>
      <c r="R420" s="125"/>
    </row>
    <row r="421" spans="1:18" ht="15.75" customHeight="1">
      <c r="A421" s="125"/>
      <c r="B421" s="125"/>
      <c r="C421" s="125"/>
      <c r="D421" s="125"/>
      <c r="E421" s="125"/>
      <c r="F421" s="125"/>
      <c r="G421" s="125"/>
      <c r="H421" s="125"/>
      <c r="I421" s="125"/>
      <c r="J421" s="125"/>
      <c r="K421" s="125"/>
      <c r="L421" s="125"/>
      <c r="M421" s="125"/>
      <c r="N421" s="125"/>
      <c r="O421" s="125"/>
      <c r="P421" s="125"/>
      <c r="Q421" s="125"/>
      <c r="R421" s="125"/>
    </row>
    <row r="422" spans="1:18" ht="15.75" customHeight="1">
      <c r="A422" s="125"/>
      <c r="B422" s="125"/>
      <c r="C422" s="125"/>
      <c r="D422" s="125"/>
      <c r="E422" s="125"/>
      <c r="F422" s="125"/>
      <c r="G422" s="125"/>
      <c r="H422" s="125"/>
      <c r="I422" s="125"/>
      <c r="J422" s="125"/>
      <c r="K422" s="125"/>
      <c r="L422" s="125"/>
      <c r="M422" s="125"/>
      <c r="N422" s="125"/>
      <c r="O422" s="125"/>
      <c r="P422" s="125"/>
      <c r="Q422" s="125"/>
      <c r="R422" s="125"/>
    </row>
    <row r="423" spans="1:18" ht="15.75" customHeight="1">
      <c r="A423" s="125"/>
      <c r="B423" s="125"/>
      <c r="C423" s="125"/>
      <c r="D423" s="125"/>
      <c r="E423" s="125"/>
      <c r="F423" s="125"/>
      <c r="G423" s="125"/>
      <c r="H423" s="125"/>
      <c r="I423" s="125"/>
      <c r="J423" s="125"/>
      <c r="K423" s="125"/>
      <c r="L423" s="125"/>
      <c r="M423" s="125"/>
      <c r="N423" s="125"/>
      <c r="O423" s="125"/>
      <c r="P423" s="125"/>
      <c r="Q423" s="125"/>
      <c r="R423" s="125"/>
    </row>
    <row r="424" spans="1:18" ht="15.75" customHeight="1">
      <c r="A424" s="125"/>
      <c r="B424" s="125"/>
      <c r="C424" s="125"/>
      <c r="D424" s="125"/>
      <c r="E424" s="125"/>
      <c r="F424" s="125"/>
      <c r="G424" s="125"/>
      <c r="H424" s="125"/>
      <c r="I424" s="125"/>
      <c r="J424" s="125"/>
      <c r="K424" s="125"/>
      <c r="L424" s="125"/>
      <c r="M424" s="125"/>
      <c r="N424" s="125"/>
      <c r="O424" s="125"/>
      <c r="P424" s="125"/>
      <c r="Q424" s="125"/>
      <c r="R424" s="125"/>
    </row>
    <row r="425" spans="1:18" ht="15.75" customHeight="1">
      <c r="A425" s="125"/>
      <c r="B425" s="125"/>
      <c r="C425" s="125"/>
      <c r="D425" s="125"/>
      <c r="E425" s="125"/>
      <c r="F425" s="125"/>
      <c r="G425" s="125"/>
      <c r="H425" s="125"/>
      <c r="I425" s="125"/>
      <c r="J425" s="125"/>
      <c r="K425" s="125"/>
      <c r="L425" s="125"/>
      <c r="M425" s="125"/>
      <c r="N425" s="125"/>
      <c r="O425" s="125"/>
      <c r="P425" s="125"/>
      <c r="Q425" s="125"/>
      <c r="R425" s="125"/>
    </row>
    <row r="426" spans="1:18" ht="15.75" customHeight="1">
      <c r="A426" s="125"/>
      <c r="B426" s="125"/>
      <c r="C426" s="125"/>
      <c r="D426" s="125"/>
      <c r="E426" s="125"/>
      <c r="F426" s="125"/>
      <c r="G426" s="125"/>
      <c r="H426" s="125"/>
      <c r="I426" s="125"/>
      <c r="J426" s="125"/>
      <c r="K426" s="125"/>
      <c r="L426" s="125"/>
      <c r="M426" s="125"/>
      <c r="N426" s="125"/>
      <c r="O426" s="125"/>
      <c r="P426" s="125"/>
      <c r="Q426" s="125"/>
      <c r="R426" s="125"/>
    </row>
    <row r="427" spans="1:18" ht="15.75" customHeight="1">
      <c r="A427" s="125"/>
      <c r="B427" s="125"/>
      <c r="C427" s="125"/>
      <c r="D427" s="125"/>
      <c r="E427" s="125"/>
      <c r="F427" s="125"/>
      <c r="G427" s="125"/>
      <c r="H427" s="125"/>
      <c r="I427" s="125"/>
      <c r="J427" s="125"/>
      <c r="K427" s="125"/>
      <c r="L427" s="125"/>
      <c r="M427" s="125"/>
      <c r="N427" s="125"/>
      <c r="O427" s="125"/>
      <c r="P427" s="125"/>
      <c r="Q427" s="125"/>
      <c r="R427" s="125"/>
    </row>
    <row r="428" spans="1:18" ht="15.75" customHeight="1">
      <c r="A428" s="125"/>
      <c r="B428" s="125"/>
      <c r="C428" s="125"/>
      <c r="D428" s="125"/>
      <c r="E428" s="125"/>
      <c r="F428" s="125"/>
      <c r="G428" s="125"/>
      <c r="H428" s="125"/>
      <c r="I428" s="125"/>
      <c r="J428" s="125"/>
      <c r="K428" s="125"/>
      <c r="L428" s="125"/>
      <c r="M428" s="125"/>
      <c r="N428" s="125"/>
      <c r="O428" s="125"/>
      <c r="P428" s="125"/>
      <c r="Q428" s="125"/>
      <c r="R428" s="125"/>
    </row>
    <row r="429" spans="1:18" ht="15.75" customHeight="1">
      <c r="A429" s="125"/>
      <c r="B429" s="125"/>
      <c r="C429" s="125"/>
      <c r="D429" s="125"/>
      <c r="E429" s="125"/>
      <c r="F429" s="125"/>
      <c r="G429" s="125"/>
      <c r="H429" s="125"/>
      <c r="I429" s="125"/>
      <c r="J429" s="125"/>
      <c r="K429" s="125"/>
      <c r="L429" s="125"/>
      <c r="M429" s="125"/>
      <c r="N429" s="125"/>
      <c r="O429" s="125"/>
      <c r="P429" s="125"/>
      <c r="Q429" s="125"/>
      <c r="R429" s="125"/>
    </row>
    <row r="430" spans="1:18" ht="15.75" customHeight="1">
      <c r="A430" s="125"/>
      <c r="B430" s="125"/>
      <c r="C430" s="125"/>
      <c r="D430" s="125"/>
      <c r="E430" s="125"/>
      <c r="F430" s="125"/>
      <c r="G430" s="125"/>
      <c r="H430" s="125"/>
      <c r="I430" s="125"/>
      <c r="J430" s="125"/>
      <c r="K430" s="125"/>
      <c r="L430" s="125"/>
      <c r="M430" s="125"/>
      <c r="N430" s="125"/>
      <c r="O430" s="125"/>
      <c r="P430" s="125"/>
      <c r="Q430" s="125"/>
      <c r="R430" s="125"/>
    </row>
    <row r="431" spans="1:18" ht="15.75" customHeight="1">
      <c r="A431" s="125"/>
      <c r="B431" s="125"/>
      <c r="C431" s="125"/>
      <c r="D431" s="125"/>
      <c r="E431" s="125"/>
      <c r="F431" s="125"/>
      <c r="G431" s="125"/>
      <c r="H431" s="125"/>
      <c r="I431" s="125"/>
      <c r="J431" s="125"/>
      <c r="K431" s="125"/>
      <c r="L431" s="125"/>
      <c r="M431" s="125"/>
      <c r="N431" s="125"/>
      <c r="O431" s="125"/>
      <c r="P431" s="125"/>
      <c r="Q431" s="125"/>
      <c r="R431" s="125"/>
    </row>
    <row r="432" spans="1:18" ht="15.75" customHeight="1">
      <c r="A432" s="125"/>
      <c r="B432" s="125"/>
      <c r="C432" s="125"/>
      <c r="D432" s="125"/>
      <c r="E432" s="125"/>
      <c r="F432" s="125"/>
      <c r="G432" s="125"/>
      <c r="H432" s="125"/>
      <c r="I432" s="125"/>
      <c r="J432" s="125"/>
      <c r="K432" s="125"/>
      <c r="L432" s="125"/>
      <c r="M432" s="125"/>
      <c r="N432" s="125"/>
      <c r="O432" s="125"/>
      <c r="P432" s="125"/>
      <c r="Q432" s="125"/>
      <c r="R432" s="125"/>
    </row>
    <row r="433" spans="1:18" ht="15.75" customHeight="1">
      <c r="A433" s="125"/>
      <c r="B433" s="125"/>
      <c r="C433" s="125"/>
      <c r="D433" s="125"/>
      <c r="E433" s="125"/>
      <c r="F433" s="125"/>
      <c r="G433" s="125"/>
      <c r="H433" s="125"/>
      <c r="I433" s="125"/>
      <c r="J433" s="125"/>
      <c r="K433" s="125"/>
      <c r="L433" s="125"/>
      <c r="M433" s="125"/>
      <c r="N433" s="125"/>
      <c r="O433" s="125"/>
      <c r="P433" s="125"/>
      <c r="Q433" s="125"/>
      <c r="R433" s="125"/>
    </row>
    <row r="434" spans="1:18" ht="15.75" customHeight="1">
      <c r="A434" s="125"/>
      <c r="B434" s="125"/>
      <c r="C434" s="125"/>
      <c r="D434" s="125"/>
      <c r="E434" s="125"/>
      <c r="F434" s="125"/>
      <c r="G434" s="125"/>
      <c r="H434" s="125"/>
      <c r="I434" s="125"/>
      <c r="J434" s="125"/>
      <c r="K434" s="125"/>
      <c r="L434" s="125"/>
      <c r="M434" s="125"/>
      <c r="N434" s="125"/>
      <c r="O434" s="125"/>
      <c r="P434" s="125"/>
      <c r="Q434" s="125"/>
      <c r="R434" s="125"/>
    </row>
    <row r="435" spans="1:18" ht="15.75" customHeight="1">
      <c r="A435" s="125"/>
      <c r="B435" s="125"/>
      <c r="C435" s="125"/>
      <c r="D435" s="125"/>
      <c r="E435" s="125"/>
      <c r="F435" s="125"/>
      <c r="G435" s="125"/>
      <c r="H435" s="125"/>
      <c r="I435" s="125"/>
      <c r="J435" s="125"/>
      <c r="K435" s="125"/>
      <c r="L435" s="125"/>
      <c r="M435" s="125"/>
      <c r="N435" s="125"/>
      <c r="O435" s="125"/>
      <c r="P435" s="125"/>
      <c r="Q435" s="125"/>
      <c r="R435" s="125"/>
    </row>
    <row r="436" spans="1:18" ht="15.75" customHeight="1">
      <c r="A436" s="125"/>
      <c r="B436" s="125"/>
      <c r="C436" s="125"/>
      <c r="D436" s="125"/>
      <c r="E436" s="125"/>
      <c r="F436" s="125"/>
      <c r="G436" s="125"/>
      <c r="H436" s="125"/>
      <c r="I436" s="125"/>
      <c r="J436" s="125"/>
      <c r="K436" s="125"/>
      <c r="L436" s="125"/>
      <c r="M436" s="125"/>
      <c r="N436" s="125"/>
      <c r="O436" s="125"/>
      <c r="P436" s="125"/>
      <c r="Q436" s="125"/>
      <c r="R436" s="125"/>
    </row>
    <row r="437" spans="1:18" ht="15.75" customHeight="1">
      <c r="A437" s="125"/>
      <c r="B437" s="125"/>
      <c r="C437" s="125"/>
      <c r="D437" s="125"/>
      <c r="E437" s="125"/>
      <c r="F437" s="125"/>
      <c r="G437" s="125"/>
      <c r="H437" s="125"/>
      <c r="I437" s="125"/>
      <c r="J437" s="125"/>
      <c r="K437" s="125"/>
      <c r="L437" s="125"/>
      <c r="M437" s="125"/>
      <c r="N437" s="125"/>
      <c r="O437" s="125"/>
      <c r="P437" s="125"/>
      <c r="Q437" s="125"/>
      <c r="R437" s="125"/>
    </row>
    <row r="438" spans="1:18" ht="15.75" customHeight="1">
      <c r="A438" s="125"/>
      <c r="B438" s="125"/>
      <c r="C438" s="125"/>
      <c r="D438" s="125"/>
      <c r="E438" s="125"/>
      <c r="F438" s="125"/>
      <c r="G438" s="125"/>
      <c r="H438" s="125"/>
      <c r="I438" s="125"/>
      <c r="J438" s="125"/>
      <c r="K438" s="125"/>
      <c r="L438" s="125"/>
      <c r="M438" s="125"/>
      <c r="N438" s="125"/>
      <c r="O438" s="125"/>
      <c r="P438" s="125"/>
      <c r="Q438" s="125"/>
      <c r="R438" s="125"/>
    </row>
    <row r="439" spans="1:18" ht="15.75" customHeight="1">
      <c r="A439" s="125"/>
      <c r="B439" s="125"/>
      <c r="C439" s="125"/>
      <c r="D439" s="125"/>
      <c r="E439" s="125"/>
      <c r="F439" s="125"/>
      <c r="G439" s="125"/>
      <c r="H439" s="125"/>
      <c r="I439" s="125"/>
      <c r="J439" s="125"/>
      <c r="K439" s="125"/>
      <c r="L439" s="125"/>
      <c r="M439" s="125"/>
      <c r="N439" s="125"/>
      <c r="O439" s="125"/>
      <c r="P439" s="125"/>
      <c r="Q439" s="125"/>
      <c r="R439" s="125"/>
    </row>
    <row r="440" spans="1:18" ht="15.75" customHeight="1">
      <c r="A440" s="125"/>
      <c r="B440" s="125"/>
      <c r="C440" s="125"/>
      <c r="D440" s="125"/>
      <c r="E440" s="125"/>
      <c r="F440" s="125"/>
      <c r="G440" s="125"/>
      <c r="H440" s="125"/>
      <c r="I440" s="125"/>
      <c r="J440" s="125"/>
      <c r="K440" s="125"/>
      <c r="L440" s="125"/>
      <c r="M440" s="125"/>
      <c r="N440" s="125"/>
      <c r="O440" s="125"/>
      <c r="P440" s="125"/>
      <c r="Q440" s="125"/>
      <c r="R440" s="125"/>
    </row>
    <row r="441" spans="1:18" ht="15.75" customHeight="1">
      <c r="A441" s="125"/>
      <c r="B441" s="125"/>
      <c r="C441" s="125"/>
      <c r="D441" s="125"/>
      <c r="E441" s="125"/>
      <c r="F441" s="125"/>
      <c r="G441" s="125"/>
      <c r="H441" s="125"/>
      <c r="I441" s="125"/>
      <c r="J441" s="125"/>
      <c r="K441" s="125"/>
      <c r="L441" s="125"/>
      <c r="M441" s="125"/>
      <c r="N441" s="125"/>
      <c r="O441" s="125"/>
      <c r="P441" s="125"/>
      <c r="Q441" s="125"/>
      <c r="R441" s="125"/>
    </row>
    <row r="442" spans="1:18" ht="15.75" customHeight="1">
      <c r="A442" s="125"/>
      <c r="B442" s="125"/>
      <c r="C442" s="125"/>
      <c r="D442" s="125"/>
      <c r="E442" s="125"/>
      <c r="F442" s="125"/>
      <c r="G442" s="125"/>
      <c r="H442" s="125"/>
      <c r="I442" s="125"/>
      <c r="J442" s="125"/>
      <c r="K442" s="125"/>
      <c r="L442" s="125"/>
      <c r="M442" s="125"/>
      <c r="N442" s="125"/>
      <c r="O442" s="125"/>
      <c r="P442" s="125"/>
      <c r="Q442" s="125"/>
      <c r="R442" s="125"/>
    </row>
    <row r="443" spans="1:18" ht="15.75" customHeight="1">
      <c r="A443" s="125"/>
      <c r="B443" s="125"/>
      <c r="C443" s="125"/>
      <c r="D443" s="125"/>
      <c r="E443" s="125"/>
      <c r="F443" s="125"/>
      <c r="G443" s="125"/>
      <c r="H443" s="125"/>
      <c r="I443" s="125"/>
      <c r="J443" s="125"/>
      <c r="K443" s="125"/>
      <c r="L443" s="125"/>
      <c r="M443" s="125"/>
      <c r="N443" s="125"/>
      <c r="O443" s="125"/>
      <c r="P443" s="125"/>
      <c r="Q443" s="125"/>
      <c r="R443" s="125"/>
    </row>
    <row r="444" spans="1:18" ht="15.75" customHeight="1">
      <c r="A444" s="125"/>
      <c r="B444" s="125"/>
      <c r="C444" s="125"/>
      <c r="D444" s="125"/>
      <c r="E444" s="125"/>
      <c r="F444" s="125"/>
      <c r="G444" s="125"/>
      <c r="H444" s="125"/>
      <c r="I444" s="125"/>
      <c r="J444" s="125"/>
      <c r="K444" s="125"/>
      <c r="L444" s="125"/>
      <c r="M444" s="125"/>
      <c r="N444" s="125"/>
      <c r="O444" s="125"/>
      <c r="P444" s="125"/>
      <c r="Q444" s="125"/>
      <c r="R444" s="125"/>
    </row>
    <row r="445" spans="1:18" ht="15.75" customHeight="1">
      <c r="A445" s="125"/>
      <c r="B445" s="125"/>
      <c r="C445" s="125"/>
      <c r="D445" s="125"/>
      <c r="E445" s="125"/>
      <c r="F445" s="125"/>
      <c r="G445" s="125"/>
      <c r="H445" s="125"/>
      <c r="I445" s="125"/>
      <c r="J445" s="125"/>
      <c r="K445" s="125"/>
      <c r="L445" s="125"/>
      <c r="M445" s="125"/>
      <c r="N445" s="125"/>
      <c r="O445" s="125"/>
      <c r="P445" s="125"/>
      <c r="Q445" s="125"/>
      <c r="R445" s="125"/>
    </row>
    <row r="446" spans="1:18" ht="15.75" customHeight="1">
      <c r="A446" s="125"/>
      <c r="B446" s="125"/>
      <c r="C446" s="125"/>
      <c r="D446" s="125"/>
      <c r="E446" s="125"/>
      <c r="F446" s="125"/>
      <c r="G446" s="125"/>
      <c r="H446" s="125"/>
      <c r="I446" s="125"/>
      <c r="J446" s="125"/>
      <c r="K446" s="125"/>
      <c r="L446" s="125"/>
      <c r="M446" s="125"/>
      <c r="N446" s="125"/>
      <c r="O446" s="125"/>
      <c r="P446" s="125"/>
      <c r="Q446" s="125"/>
      <c r="R446" s="125"/>
    </row>
    <row r="447" spans="1:18" ht="15.75" customHeight="1">
      <c r="A447" s="125"/>
      <c r="B447" s="125"/>
      <c r="C447" s="125"/>
      <c r="D447" s="125"/>
      <c r="E447" s="125"/>
      <c r="F447" s="125"/>
      <c r="G447" s="125"/>
      <c r="H447" s="125"/>
      <c r="I447" s="125"/>
      <c r="J447" s="125"/>
      <c r="K447" s="125"/>
      <c r="L447" s="125"/>
      <c r="M447" s="125"/>
      <c r="N447" s="125"/>
      <c r="O447" s="125"/>
      <c r="P447" s="125"/>
      <c r="Q447" s="125"/>
      <c r="R447" s="125"/>
    </row>
    <row r="448" spans="1:18" ht="15.75" customHeight="1">
      <c r="A448" s="125"/>
      <c r="B448" s="125"/>
      <c r="C448" s="125"/>
      <c r="D448" s="125"/>
      <c r="E448" s="125"/>
      <c r="F448" s="125"/>
      <c r="G448" s="125"/>
      <c r="H448" s="125"/>
      <c r="I448" s="125"/>
      <c r="J448" s="125"/>
      <c r="K448" s="125"/>
      <c r="L448" s="125"/>
      <c r="M448" s="125"/>
      <c r="N448" s="125"/>
      <c r="O448" s="125"/>
      <c r="P448" s="125"/>
      <c r="Q448" s="125"/>
      <c r="R448" s="125"/>
    </row>
    <row r="449" spans="1:18" ht="15.75" customHeight="1">
      <c r="A449" s="125"/>
      <c r="B449" s="125"/>
      <c r="C449" s="125"/>
      <c r="D449" s="125"/>
      <c r="E449" s="125"/>
      <c r="F449" s="125"/>
      <c r="G449" s="125"/>
      <c r="H449" s="125"/>
      <c r="I449" s="125"/>
      <c r="J449" s="125"/>
      <c r="K449" s="125"/>
      <c r="L449" s="125"/>
      <c r="M449" s="125"/>
      <c r="N449" s="125"/>
      <c r="O449" s="125"/>
      <c r="P449" s="125"/>
      <c r="Q449" s="125"/>
      <c r="R449" s="125"/>
    </row>
    <row r="450" spans="1:18" ht="15.75" customHeight="1">
      <c r="A450" s="125"/>
      <c r="B450" s="125"/>
      <c r="C450" s="125"/>
      <c r="D450" s="125"/>
      <c r="E450" s="125"/>
      <c r="F450" s="125"/>
      <c r="G450" s="125"/>
      <c r="H450" s="125"/>
      <c r="I450" s="125"/>
      <c r="J450" s="125"/>
      <c r="K450" s="125"/>
      <c r="L450" s="125"/>
      <c r="M450" s="125"/>
      <c r="N450" s="125"/>
      <c r="O450" s="125"/>
      <c r="P450" s="125"/>
      <c r="Q450" s="125"/>
      <c r="R450" s="125"/>
    </row>
    <row r="451" spans="1:18" ht="15.75" customHeight="1">
      <c r="A451" s="125"/>
      <c r="B451" s="125"/>
      <c r="C451" s="125"/>
      <c r="D451" s="125"/>
      <c r="E451" s="125"/>
      <c r="F451" s="125"/>
      <c r="G451" s="125"/>
      <c r="H451" s="125"/>
      <c r="I451" s="125"/>
      <c r="J451" s="125"/>
      <c r="K451" s="125"/>
      <c r="L451" s="125"/>
      <c r="M451" s="125"/>
      <c r="N451" s="125"/>
      <c r="O451" s="125"/>
      <c r="P451" s="125"/>
      <c r="Q451" s="125"/>
      <c r="R451" s="125"/>
    </row>
    <row r="452" spans="1:18" ht="15.75" customHeight="1">
      <c r="A452" s="125"/>
      <c r="B452" s="125"/>
      <c r="C452" s="125"/>
      <c r="D452" s="125"/>
      <c r="E452" s="125"/>
      <c r="F452" s="125"/>
      <c r="G452" s="125"/>
      <c r="H452" s="125"/>
      <c r="I452" s="125"/>
      <c r="J452" s="125"/>
      <c r="K452" s="125"/>
      <c r="L452" s="125"/>
      <c r="M452" s="125"/>
      <c r="N452" s="125"/>
      <c r="O452" s="125"/>
      <c r="P452" s="125"/>
      <c r="Q452" s="125"/>
      <c r="R452" s="125"/>
    </row>
    <row r="453" spans="1:18" ht="15.75" customHeight="1">
      <c r="A453" s="125"/>
      <c r="B453" s="125"/>
      <c r="C453" s="125"/>
      <c r="D453" s="125"/>
      <c r="E453" s="125"/>
      <c r="F453" s="125"/>
      <c r="G453" s="125"/>
      <c r="H453" s="125"/>
      <c r="I453" s="125"/>
      <c r="J453" s="125"/>
      <c r="K453" s="125"/>
      <c r="L453" s="125"/>
      <c r="M453" s="125"/>
      <c r="N453" s="125"/>
      <c r="O453" s="125"/>
      <c r="P453" s="125"/>
      <c r="Q453" s="125"/>
      <c r="R453" s="125"/>
    </row>
    <row r="454" spans="1:18" ht="15.75" customHeight="1">
      <c r="A454" s="125"/>
      <c r="B454" s="125"/>
      <c r="C454" s="125"/>
      <c r="D454" s="125"/>
      <c r="E454" s="125"/>
      <c r="F454" s="125"/>
      <c r="G454" s="125"/>
      <c r="H454" s="125"/>
      <c r="I454" s="125"/>
      <c r="J454" s="125"/>
      <c r="K454" s="125"/>
      <c r="L454" s="125"/>
      <c r="M454" s="125"/>
      <c r="N454" s="125"/>
      <c r="O454" s="125"/>
      <c r="P454" s="125"/>
      <c r="Q454" s="125"/>
      <c r="R454" s="125"/>
    </row>
    <row r="455" spans="1:18" ht="15.75" customHeight="1">
      <c r="A455" s="125"/>
      <c r="B455" s="125"/>
      <c r="C455" s="125"/>
      <c r="D455" s="125"/>
      <c r="E455" s="125"/>
      <c r="F455" s="125"/>
      <c r="G455" s="125"/>
      <c r="H455" s="125"/>
      <c r="I455" s="125"/>
      <c r="J455" s="125"/>
      <c r="K455" s="125"/>
      <c r="L455" s="125"/>
      <c r="M455" s="125"/>
      <c r="N455" s="125"/>
      <c r="O455" s="125"/>
      <c r="P455" s="125"/>
      <c r="Q455" s="125"/>
      <c r="R455" s="125"/>
    </row>
    <row r="456" spans="1:18" ht="15.75" customHeight="1">
      <c r="A456" s="125"/>
      <c r="B456" s="125"/>
      <c r="C456" s="125"/>
      <c r="D456" s="125"/>
      <c r="E456" s="125"/>
      <c r="F456" s="125"/>
      <c r="G456" s="125"/>
      <c r="H456" s="125"/>
      <c r="I456" s="125"/>
      <c r="J456" s="125"/>
      <c r="K456" s="125"/>
      <c r="L456" s="125"/>
      <c r="M456" s="125"/>
      <c r="N456" s="125"/>
      <c r="O456" s="125"/>
      <c r="P456" s="125"/>
      <c r="Q456" s="125"/>
      <c r="R456" s="125"/>
    </row>
    <row r="457" spans="1:18" ht="15.75" customHeight="1">
      <c r="A457" s="125"/>
      <c r="B457" s="125"/>
      <c r="C457" s="125"/>
      <c r="D457" s="125"/>
      <c r="E457" s="125"/>
      <c r="F457" s="125"/>
      <c r="G457" s="125"/>
      <c r="H457" s="125"/>
      <c r="I457" s="125"/>
      <c r="J457" s="125"/>
      <c r="K457" s="125"/>
      <c r="L457" s="125"/>
      <c r="M457" s="125"/>
      <c r="N457" s="125"/>
      <c r="O457" s="125"/>
      <c r="P457" s="125"/>
      <c r="Q457" s="125"/>
      <c r="R457" s="125"/>
    </row>
    <row r="458" spans="1:18" ht="15.75" customHeight="1">
      <c r="A458" s="125"/>
      <c r="B458" s="125"/>
      <c r="C458" s="125"/>
      <c r="D458" s="125"/>
      <c r="E458" s="125"/>
      <c r="F458" s="125"/>
      <c r="G458" s="125"/>
      <c r="H458" s="125"/>
      <c r="I458" s="125"/>
      <c r="J458" s="125"/>
      <c r="K458" s="125"/>
      <c r="L458" s="125"/>
      <c r="M458" s="125"/>
      <c r="N458" s="125"/>
      <c r="O458" s="125"/>
      <c r="P458" s="125"/>
      <c r="Q458" s="125"/>
      <c r="R458" s="125"/>
    </row>
    <row r="459" spans="1:18" ht="15.75" customHeight="1">
      <c r="A459" s="125"/>
      <c r="B459" s="125"/>
      <c r="C459" s="125"/>
      <c r="D459" s="125"/>
      <c r="E459" s="125"/>
      <c r="F459" s="125"/>
      <c r="G459" s="125"/>
      <c r="H459" s="125"/>
      <c r="I459" s="125"/>
      <c r="J459" s="125"/>
      <c r="K459" s="125"/>
      <c r="L459" s="125"/>
      <c r="M459" s="125"/>
      <c r="N459" s="125"/>
      <c r="O459" s="125"/>
      <c r="P459" s="125"/>
      <c r="Q459" s="125"/>
      <c r="R459" s="125"/>
    </row>
    <row r="460" spans="1:18" ht="15.75" customHeight="1">
      <c r="A460" s="125"/>
      <c r="B460" s="125"/>
      <c r="C460" s="125"/>
      <c r="D460" s="125"/>
      <c r="E460" s="125"/>
      <c r="F460" s="125"/>
      <c r="G460" s="125"/>
      <c r="H460" s="125"/>
      <c r="I460" s="125"/>
      <c r="J460" s="125"/>
      <c r="K460" s="125"/>
      <c r="L460" s="125"/>
      <c r="M460" s="125"/>
      <c r="N460" s="125"/>
      <c r="O460" s="125"/>
      <c r="P460" s="125"/>
      <c r="Q460" s="125"/>
      <c r="R460" s="125"/>
    </row>
    <row r="461" spans="1:18" ht="15.75" customHeight="1">
      <c r="A461" s="125"/>
      <c r="B461" s="125"/>
      <c r="C461" s="125"/>
      <c r="D461" s="125"/>
      <c r="E461" s="125"/>
      <c r="F461" s="125"/>
      <c r="G461" s="125"/>
      <c r="H461" s="125"/>
      <c r="I461" s="125"/>
      <c r="J461" s="125"/>
      <c r="K461" s="125"/>
      <c r="L461" s="125"/>
      <c r="M461" s="125"/>
      <c r="N461" s="125"/>
      <c r="O461" s="125"/>
      <c r="P461" s="125"/>
      <c r="Q461" s="125"/>
      <c r="R461" s="125"/>
    </row>
    <row r="462" spans="1:18" ht="15.75" customHeight="1">
      <c r="A462" s="125"/>
      <c r="B462" s="125"/>
      <c r="C462" s="125"/>
      <c r="D462" s="125"/>
      <c r="E462" s="125"/>
      <c r="F462" s="125"/>
      <c r="G462" s="125"/>
      <c r="H462" s="125"/>
      <c r="I462" s="125"/>
      <c r="J462" s="125"/>
      <c r="K462" s="125"/>
      <c r="L462" s="125"/>
      <c r="M462" s="125"/>
      <c r="N462" s="125"/>
      <c r="O462" s="125"/>
      <c r="P462" s="125"/>
      <c r="Q462" s="125"/>
      <c r="R462" s="125"/>
    </row>
    <row r="463" spans="1:18" ht="15.75" customHeight="1">
      <c r="A463" s="125"/>
      <c r="B463" s="125"/>
      <c r="C463" s="125"/>
      <c r="D463" s="125"/>
      <c r="E463" s="125"/>
      <c r="F463" s="125"/>
      <c r="G463" s="125"/>
      <c r="H463" s="125"/>
      <c r="I463" s="125"/>
      <c r="J463" s="125"/>
      <c r="K463" s="125"/>
      <c r="L463" s="125"/>
      <c r="M463" s="125"/>
      <c r="N463" s="125"/>
      <c r="O463" s="125"/>
      <c r="P463" s="125"/>
      <c r="Q463" s="125"/>
      <c r="R463" s="125"/>
    </row>
    <row r="464" spans="1:18" ht="15.75" customHeight="1">
      <c r="A464" s="125"/>
      <c r="B464" s="125"/>
      <c r="C464" s="125"/>
      <c r="D464" s="125"/>
      <c r="E464" s="125"/>
      <c r="F464" s="125"/>
      <c r="G464" s="125"/>
      <c r="H464" s="125"/>
      <c r="I464" s="125"/>
      <c r="J464" s="125"/>
      <c r="K464" s="125"/>
      <c r="L464" s="125"/>
      <c r="M464" s="125"/>
      <c r="N464" s="125"/>
      <c r="O464" s="125"/>
      <c r="P464" s="125"/>
      <c r="Q464" s="125"/>
      <c r="R464" s="125"/>
    </row>
    <row r="465" spans="1:18" ht="15.75" customHeight="1">
      <c r="A465" s="125"/>
      <c r="B465" s="125"/>
      <c r="C465" s="125"/>
      <c r="D465" s="125"/>
      <c r="E465" s="125"/>
      <c r="F465" s="125"/>
      <c r="G465" s="125"/>
      <c r="H465" s="125"/>
      <c r="I465" s="125"/>
      <c r="J465" s="125"/>
      <c r="K465" s="125"/>
      <c r="L465" s="125"/>
      <c r="M465" s="125"/>
      <c r="N465" s="125"/>
      <c r="O465" s="125"/>
      <c r="P465" s="125"/>
      <c r="Q465" s="125"/>
      <c r="R465" s="125"/>
    </row>
    <row r="466" spans="1:18" ht="15.75" customHeight="1">
      <c r="A466" s="125"/>
      <c r="B466" s="125"/>
      <c r="C466" s="125"/>
      <c r="D466" s="125"/>
      <c r="E466" s="125"/>
      <c r="F466" s="125"/>
      <c r="G466" s="125"/>
      <c r="H466" s="125"/>
      <c r="I466" s="125"/>
      <c r="J466" s="125"/>
      <c r="K466" s="125"/>
      <c r="L466" s="125"/>
      <c r="M466" s="125"/>
      <c r="N466" s="125"/>
      <c r="O466" s="125"/>
      <c r="P466" s="125"/>
      <c r="Q466" s="125"/>
      <c r="R466" s="125"/>
    </row>
    <row r="467" spans="1:18" ht="15.75" customHeight="1">
      <c r="A467" s="125"/>
      <c r="B467" s="125"/>
      <c r="C467" s="125"/>
      <c r="D467" s="125"/>
      <c r="E467" s="125"/>
      <c r="F467" s="125"/>
      <c r="G467" s="125"/>
      <c r="H467" s="125"/>
      <c r="I467" s="125"/>
      <c r="J467" s="125"/>
      <c r="K467" s="125"/>
      <c r="L467" s="125"/>
      <c r="M467" s="125"/>
      <c r="N467" s="125"/>
      <c r="O467" s="125"/>
      <c r="P467" s="125"/>
      <c r="Q467" s="125"/>
      <c r="R467" s="125"/>
    </row>
    <row r="468" spans="1:18" ht="15.75" customHeight="1">
      <c r="A468" s="125"/>
      <c r="B468" s="125"/>
      <c r="C468" s="125"/>
      <c r="D468" s="125"/>
      <c r="E468" s="125"/>
      <c r="F468" s="125"/>
      <c r="G468" s="125"/>
      <c r="H468" s="125"/>
      <c r="I468" s="125"/>
      <c r="J468" s="125"/>
      <c r="K468" s="125"/>
      <c r="L468" s="125"/>
      <c r="M468" s="125"/>
      <c r="N468" s="125"/>
      <c r="O468" s="125"/>
      <c r="P468" s="125"/>
      <c r="Q468" s="125"/>
      <c r="R468" s="125"/>
    </row>
    <row r="469" spans="1:18" ht="15.75" customHeight="1">
      <c r="A469" s="125"/>
      <c r="B469" s="125"/>
      <c r="C469" s="125"/>
      <c r="D469" s="125"/>
      <c r="E469" s="125"/>
      <c r="F469" s="125"/>
      <c r="G469" s="125"/>
      <c r="H469" s="125"/>
      <c r="I469" s="125"/>
      <c r="J469" s="125"/>
      <c r="K469" s="125"/>
      <c r="L469" s="125"/>
      <c r="M469" s="125"/>
      <c r="N469" s="125"/>
      <c r="O469" s="125"/>
      <c r="P469" s="125"/>
      <c r="Q469" s="125"/>
      <c r="R469" s="125"/>
    </row>
    <row r="470" spans="1:18" ht="15.75" customHeight="1">
      <c r="A470" s="125"/>
      <c r="B470" s="125"/>
      <c r="C470" s="125"/>
      <c r="D470" s="125"/>
      <c r="E470" s="125"/>
      <c r="F470" s="125"/>
      <c r="G470" s="125"/>
      <c r="H470" s="125"/>
      <c r="I470" s="125"/>
      <c r="J470" s="125"/>
      <c r="K470" s="125"/>
      <c r="L470" s="125"/>
      <c r="M470" s="125"/>
      <c r="N470" s="125"/>
      <c r="O470" s="125"/>
      <c r="P470" s="125"/>
      <c r="Q470" s="125"/>
      <c r="R470" s="125"/>
    </row>
    <row r="471" spans="1:18" ht="15.75" customHeight="1">
      <c r="A471" s="125"/>
      <c r="B471" s="125"/>
      <c r="C471" s="125"/>
      <c r="D471" s="125"/>
      <c r="E471" s="125"/>
      <c r="F471" s="125"/>
      <c r="G471" s="125"/>
      <c r="H471" s="125"/>
      <c r="I471" s="125"/>
      <c r="J471" s="125"/>
      <c r="K471" s="125"/>
      <c r="L471" s="125"/>
      <c r="M471" s="125"/>
      <c r="N471" s="125"/>
      <c r="O471" s="125"/>
      <c r="P471" s="125"/>
      <c r="Q471" s="125"/>
      <c r="R471" s="125"/>
    </row>
    <row r="472" spans="1:18" ht="15.75" customHeight="1">
      <c r="A472" s="125"/>
      <c r="B472" s="125"/>
      <c r="C472" s="125"/>
      <c r="D472" s="125"/>
      <c r="E472" s="125"/>
      <c r="F472" s="125"/>
      <c r="G472" s="125"/>
      <c r="H472" s="125"/>
      <c r="I472" s="125"/>
      <c r="J472" s="125"/>
      <c r="K472" s="125"/>
      <c r="L472" s="125"/>
      <c r="M472" s="125"/>
      <c r="N472" s="125"/>
      <c r="O472" s="125"/>
      <c r="P472" s="125"/>
      <c r="Q472" s="125"/>
      <c r="R472" s="125"/>
    </row>
    <row r="473" spans="1:18" ht="15.75" customHeight="1">
      <c r="A473" s="125"/>
      <c r="B473" s="125"/>
      <c r="C473" s="125"/>
      <c r="D473" s="125"/>
      <c r="E473" s="125"/>
      <c r="F473" s="125"/>
      <c r="G473" s="125"/>
      <c r="H473" s="125"/>
      <c r="I473" s="125"/>
      <c r="J473" s="125"/>
      <c r="K473" s="125"/>
      <c r="L473" s="125"/>
      <c r="M473" s="125"/>
      <c r="N473" s="125"/>
      <c r="O473" s="125"/>
      <c r="P473" s="125"/>
      <c r="Q473" s="125"/>
      <c r="R473" s="125"/>
    </row>
    <row r="474" spans="1:18" ht="15.75" customHeight="1">
      <c r="A474" s="125"/>
      <c r="B474" s="125"/>
      <c r="C474" s="125"/>
      <c r="D474" s="125"/>
      <c r="E474" s="125"/>
      <c r="F474" s="125"/>
      <c r="G474" s="125"/>
      <c r="H474" s="125"/>
      <c r="I474" s="125"/>
      <c r="J474" s="125"/>
      <c r="K474" s="125"/>
      <c r="L474" s="125"/>
      <c r="M474" s="125"/>
      <c r="N474" s="125"/>
      <c r="O474" s="125"/>
      <c r="P474" s="125"/>
      <c r="Q474" s="125"/>
      <c r="R474" s="125"/>
    </row>
    <row r="475" spans="1:18" ht="15.75" customHeight="1">
      <c r="A475" s="125"/>
      <c r="B475" s="125"/>
      <c r="C475" s="125"/>
      <c r="D475" s="125"/>
      <c r="E475" s="125"/>
      <c r="F475" s="125"/>
      <c r="G475" s="125"/>
      <c r="H475" s="125"/>
      <c r="I475" s="125"/>
      <c r="J475" s="125"/>
      <c r="K475" s="125"/>
      <c r="L475" s="125"/>
      <c r="M475" s="125"/>
      <c r="N475" s="125"/>
      <c r="O475" s="125"/>
      <c r="P475" s="125"/>
      <c r="Q475" s="125"/>
      <c r="R475" s="125"/>
    </row>
    <row r="476" spans="1:18" ht="15.75" customHeight="1">
      <c r="A476" s="125"/>
      <c r="B476" s="125"/>
      <c r="C476" s="125"/>
      <c r="D476" s="125"/>
      <c r="E476" s="125"/>
      <c r="F476" s="125"/>
      <c r="G476" s="125"/>
      <c r="H476" s="125"/>
      <c r="I476" s="125"/>
      <c r="J476" s="125"/>
      <c r="K476" s="125"/>
      <c r="L476" s="125"/>
      <c r="M476" s="125"/>
      <c r="N476" s="125"/>
      <c r="O476" s="125"/>
      <c r="P476" s="125"/>
      <c r="Q476" s="125"/>
      <c r="R476" s="125"/>
    </row>
    <row r="477" spans="1:18" ht="15.75" customHeight="1">
      <c r="A477" s="125"/>
      <c r="B477" s="125"/>
      <c r="C477" s="125"/>
      <c r="D477" s="125"/>
      <c r="E477" s="125"/>
      <c r="F477" s="125"/>
      <c r="G477" s="125"/>
      <c r="H477" s="125"/>
      <c r="I477" s="125"/>
      <c r="J477" s="125"/>
      <c r="K477" s="125"/>
      <c r="L477" s="125"/>
      <c r="M477" s="125"/>
      <c r="N477" s="125"/>
      <c r="O477" s="125"/>
      <c r="P477" s="125"/>
      <c r="Q477" s="125"/>
      <c r="R477" s="125"/>
    </row>
    <row r="478" spans="1:18" ht="15.75" customHeight="1">
      <c r="A478" s="125"/>
      <c r="B478" s="125"/>
      <c r="C478" s="125"/>
      <c r="D478" s="125"/>
      <c r="E478" s="125"/>
      <c r="F478" s="125"/>
      <c r="G478" s="125"/>
      <c r="H478" s="125"/>
      <c r="I478" s="125"/>
      <c r="J478" s="125"/>
      <c r="K478" s="125"/>
      <c r="L478" s="125"/>
      <c r="M478" s="125"/>
      <c r="N478" s="125"/>
      <c r="O478" s="125"/>
      <c r="P478" s="125"/>
      <c r="Q478" s="125"/>
      <c r="R478" s="125"/>
    </row>
    <row r="479" spans="1:18" ht="15.75" customHeight="1">
      <c r="A479" s="125"/>
      <c r="B479" s="125"/>
      <c r="C479" s="125"/>
      <c r="D479" s="125"/>
      <c r="E479" s="125"/>
      <c r="F479" s="125"/>
      <c r="G479" s="125"/>
      <c r="H479" s="125"/>
      <c r="I479" s="125"/>
      <c r="J479" s="125"/>
      <c r="K479" s="125"/>
      <c r="L479" s="125"/>
      <c r="M479" s="125"/>
      <c r="N479" s="125"/>
      <c r="O479" s="125"/>
      <c r="P479" s="125"/>
      <c r="Q479" s="125"/>
      <c r="R479" s="125"/>
    </row>
    <row r="480" spans="1:18" ht="15.75" customHeight="1">
      <c r="A480" s="125"/>
      <c r="B480" s="125"/>
      <c r="C480" s="125"/>
      <c r="D480" s="125"/>
      <c r="E480" s="125"/>
      <c r="F480" s="125"/>
      <c r="G480" s="125"/>
      <c r="H480" s="125"/>
      <c r="I480" s="125"/>
      <c r="J480" s="125"/>
      <c r="K480" s="125"/>
      <c r="L480" s="125"/>
      <c r="M480" s="125"/>
      <c r="N480" s="125"/>
      <c r="O480" s="125"/>
      <c r="P480" s="125"/>
      <c r="Q480" s="125"/>
      <c r="R480" s="125"/>
    </row>
    <row r="481" spans="1:18" ht="15.75" customHeight="1">
      <c r="A481" s="125"/>
      <c r="B481" s="125"/>
      <c r="C481" s="125"/>
      <c r="D481" s="125"/>
      <c r="E481" s="125"/>
      <c r="F481" s="125"/>
      <c r="G481" s="125"/>
      <c r="H481" s="125"/>
      <c r="I481" s="125"/>
      <c r="J481" s="125"/>
      <c r="K481" s="125"/>
      <c r="L481" s="125"/>
      <c r="M481" s="125"/>
      <c r="N481" s="125"/>
      <c r="O481" s="125"/>
      <c r="P481" s="125"/>
      <c r="Q481" s="125"/>
      <c r="R481" s="125"/>
    </row>
    <row r="482" spans="1:18" ht="15.75" customHeight="1">
      <c r="A482" s="125"/>
      <c r="B482" s="125"/>
      <c r="C482" s="125"/>
      <c r="D482" s="125"/>
      <c r="E482" s="125"/>
      <c r="F482" s="125"/>
      <c r="G482" s="125"/>
      <c r="H482" s="125"/>
      <c r="I482" s="125"/>
      <c r="J482" s="125"/>
      <c r="K482" s="125"/>
      <c r="L482" s="125"/>
      <c r="M482" s="125"/>
      <c r="N482" s="125"/>
      <c r="O482" s="125"/>
      <c r="P482" s="125"/>
      <c r="Q482" s="125"/>
      <c r="R482" s="125"/>
    </row>
    <row r="483" spans="1:18" ht="15.75" customHeight="1">
      <c r="A483" s="125"/>
      <c r="B483" s="125"/>
      <c r="C483" s="125"/>
      <c r="D483" s="125"/>
      <c r="E483" s="125"/>
      <c r="F483" s="125"/>
      <c r="G483" s="125"/>
      <c r="H483" s="125"/>
      <c r="I483" s="125"/>
      <c r="J483" s="125"/>
      <c r="K483" s="125"/>
      <c r="L483" s="125"/>
      <c r="M483" s="125"/>
      <c r="N483" s="125"/>
      <c r="O483" s="125"/>
      <c r="P483" s="125"/>
      <c r="Q483" s="125"/>
      <c r="R483" s="125"/>
    </row>
    <row r="484" spans="1:18" ht="15.75" customHeight="1">
      <c r="A484" s="125"/>
      <c r="B484" s="125"/>
      <c r="C484" s="125"/>
      <c r="D484" s="125"/>
      <c r="E484" s="125"/>
      <c r="F484" s="125"/>
      <c r="G484" s="125"/>
      <c r="H484" s="125"/>
      <c r="I484" s="125"/>
      <c r="J484" s="125"/>
      <c r="K484" s="125"/>
      <c r="L484" s="125"/>
      <c r="M484" s="125"/>
      <c r="N484" s="125"/>
      <c r="O484" s="125"/>
      <c r="P484" s="125"/>
      <c r="Q484" s="125"/>
      <c r="R484" s="125"/>
    </row>
    <row r="485" spans="1:18" ht="15.75" customHeight="1">
      <c r="A485" s="125"/>
      <c r="B485" s="125"/>
      <c r="C485" s="125"/>
      <c r="D485" s="125"/>
      <c r="E485" s="125"/>
      <c r="F485" s="125"/>
      <c r="G485" s="125"/>
      <c r="H485" s="125"/>
      <c r="I485" s="125"/>
      <c r="J485" s="125"/>
      <c r="K485" s="125"/>
      <c r="L485" s="125"/>
      <c r="M485" s="125"/>
      <c r="N485" s="125"/>
      <c r="O485" s="125"/>
      <c r="P485" s="125"/>
      <c r="Q485" s="125"/>
      <c r="R485" s="125"/>
    </row>
    <row r="486" spans="1:18" ht="15.75" customHeight="1">
      <c r="A486" s="125"/>
      <c r="B486" s="125"/>
      <c r="C486" s="125"/>
      <c r="D486" s="125"/>
      <c r="E486" s="125"/>
      <c r="F486" s="125"/>
      <c r="G486" s="125"/>
      <c r="H486" s="125"/>
      <c r="I486" s="125"/>
      <c r="J486" s="125"/>
      <c r="K486" s="125"/>
      <c r="L486" s="125"/>
      <c r="M486" s="125"/>
      <c r="N486" s="125"/>
      <c r="O486" s="125"/>
      <c r="P486" s="125"/>
      <c r="Q486" s="125"/>
      <c r="R486" s="125"/>
    </row>
    <row r="487" spans="1:18" ht="15.75" customHeight="1">
      <c r="A487" s="125"/>
      <c r="B487" s="125"/>
      <c r="C487" s="125"/>
      <c r="D487" s="125"/>
      <c r="E487" s="125"/>
      <c r="F487" s="125"/>
      <c r="G487" s="125"/>
      <c r="H487" s="125"/>
      <c r="I487" s="125"/>
      <c r="J487" s="125"/>
      <c r="K487" s="125"/>
      <c r="L487" s="125"/>
      <c r="M487" s="125"/>
      <c r="N487" s="125"/>
      <c r="O487" s="125"/>
      <c r="P487" s="125"/>
      <c r="Q487" s="125"/>
      <c r="R487" s="125"/>
    </row>
    <row r="488" spans="1:18" ht="15.75" customHeight="1">
      <c r="A488" s="125"/>
      <c r="B488" s="125"/>
      <c r="C488" s="125"/>
      <c r="D488" s="125"/>
      <c r="E488" s="125"/>
      <c r="F488" s="125"/>
      <c r="G488" s="125"/>
      <c r="H488" s="125"/>
      <c r="I488" s="125"/>
      <c r="J488" s="125"/>
      <c r="K488" s="125"/>
      <c r="L488" s="125"/>
      <c r="M488" s="125"/>
      <c r="N488" s="125"/>
      <c r="O488" s="125"/>
      <c r="P488" s="125"/>
      <c r="Q488" s="125"/>
      <c r="R488" s="125"/>
    </row>
    <row r="489" spans="1:18" ht="15.75" customHeight="1">
      <c r="A489" s="125"/>
      <c r="B489" s="125"/>
      <c r="C489" s="125"/>
      <c r="D489" s="125"/>
      <c r="E489" s="125"/>
      <c r="F489" s="125"/>
      <c r="G489" s="125"/>
      <c r="H489" s="125"/>
      <c r="I489" s="125"/>
      <c r="J489" s="125"/>
      <c r="K489" s="125"/>
      <c r="L489" s="125"/>
      <c r="M489" s="125"/>
      <c r="N489" s="125"/>
      <c r="O489" s="125"/>
      <c r="P489" s="125"/>
      <c r="Q489" s="125"/>
      <c r="R489" s="125"/>
    </row>
    <row r="490" spans="1:18" ht="15.75" customHeight="1">
      <c r="A490" s="125"/>
      <c r="B490" s="125"/>
      <c r="C490" s="125"/>
      <c r="D490" s="125"/>
      <c r="E490" s="125"/>
      <c r="F490" s="125"/>
      <c r="G490" s="125"/>
      <c r="H490" s="125"/>
      <c r="I490" s="125"/>
      <c r="J490" s="125"/>
      <c r="K490" s="125"/>
      <c r="L490" s="125"/>
      <c r="M490" s="125"/>
      <c r="N490" s="125"/>
      <c r="O490" s="125"/>
      <c r="P490" s="125"/>
      <c r="Q490" s="125"/>
      <c r="R490" s="125"/>
    </row>
    <row r="491" spans="1:18" ht="15.75" customHeight="1">
      <c r="A491" s="125"/>
      <c r="B491" s="125"/>
      <c r="C491" s="125"/>
      <c r="D491" s="125"/>
      <c r="E491" s="125"/>
      <c r="F491" s="125"/>
      <c r="G491" s="125"/>
      <c r="H491" s="125"/>
      <c r="I491" s="125"/>
      <c r="J491" s="125"/>
      <c r="K491" s="125"/>
      <c r="L491" s="125"/>
      <c r="M491" s="125"/>
      <c r="N491" s="125"/>
      <c r="O491" s="125"/>
      <c r="P491" s="125"/>
      <c r="Q491" s="125"/>
      <c r="R491" s="125"/>
    </row>
    <row r="492" spans="1:18" ht="15.75" customHeight="1">
      <c r="A492" s="125"/>
      <c r="B492" s="125"/>
      <c r="C492" s="125"/>
      <c r="D492" s="125"/>
      <c r="E492" s="125"/>
      <c r="F492" s="125"/>
      <c r="G492" s="125"/>
      <c r="H492" s="125"/>
      <c r="I492" s="125"/>
      <c r="J492" s="125"/>
      <c r="K492" s="125"/>
      <c r="L492" s="125"/>
      <c r="M492" s="125"/>
      <c r="N492" s="125"/>
      <c r="O492" s="125"/>
      <c r="P492" s="125"/>
      <c r="Q492" s="125"/>
      <c r="R492" s="125"/>
    </row>
    <row r="493" spans="1:18" ht="15.75" customHeight="1">
      <c r="A493" s="125"/>
      <c r="B493" s="125"/>
      <c r="C493" s="125"/>
      <c r="D493" s="125"/>
      <c r="E493" s="125"/>
      <c r="F493" s="125"/>
      <c r="G493" s="125"/>
      <c r="H493" s="125"/>
      <c r="I493" s="125"/>
      <c r="J493" s="125"/>
      <c r="K493" s="125"/>
      <c r="L493" s="125"/>
      <c r="M493" s="125"/>
      <c r="N493" s="125"/>
      <c r="O493" s="125"/>
      <c r="P493" s="125"/>
      <c r="Q493" s="125"/>
      <c r="R493" s="125"/>
    </row>
    <row r="494" spans="1:18" ht="15.75" customHeight="1">
      <c r="A494" s="125"/>
      <c r="B494" s="125"/>
      <c r="C494" s="125"/>
      <c r="D494" s="125"/>
      <c r="E494" s="125"/>
      <c r="F494" s="125"/>
      <c r="G494" s="125"/>
      <c r="H494" s="125"/>
      <c r="I494" s="125"/>
      <c r="J494" s="125"/>
      <c r="K494" s="125"/>
      <c r="L494" s="125"/>
      <c r="M494" s="125"/>
      <c r="N494" s="125"/>
      <c r="O494" s="125"/>
      <c r="P494" s="125"/>
      <c r="Q494" s="125"/>
      <c r="R494" s="125"/>
    </row>
    <row r="495" spans="1:18" ht="15.75" customHeight="1">
      <c r="A495" s="125"/>
      <c r="B495" s="125"/>
      <c r="C495" s="125"/>
      <c r="D495" s="125"/>
      <c r="E495" s="125"/>
      <c r="F495" s="125"/>
      <c r="G495" s="125"/>
      <c r="H495" s="125"/>
      <c r="I495" s="125"/>
      <c r="J495" s="125"/>
      <c r="K495" s="125"/>
      <c r="L495" s="125"/>
      <c r="M495" s="125"/>
      <c r="N495" s="125"/>
      <c r="O495" s="125"/>
      <c r="P495" s="125"/>
      <c r="Q495" s="125"/>
      <c r="R495" s="125"/>
    </row>
    <row r="496" spans="1:18" ht="15.75" customHeight="1">
      <c r="A496" s="125"/>
      <c r="B496" s="125"/>
      <c r="C496" s="125"/>
      <c r="D496" s="125"/>
      <c r="E496" s="125"/>
      <c r="F496" s="125"/>
      <c r="G496" s="125"/>
      <c r="H496" s="125"/>
      <c r="I496" s="125"/>
      <c r="J496" s="125"/>
      <c r="K496" s="125"/>
      <c r="L496" s="125"/>
      <c r="M496" s="125"/>
      <c r="N496" s="125"/>
      <c r="O496" s="125"/>
      <c r="P496" s="125"/>
      <c r="Q496" s="125"/>
      <c r="R496" s="125"/>
    </row>
    <row r="497" spans="1:18" ht="15.75" customHeight="1">
      <c r="A497" s="125"/>
      <c r="B497" s="125"/>
      <c r="C497" s="125"/>
      <c r="D497" s="125"/>
      <c r="E497" s="125"/>
      <c r="F497" s="125"/>
      <c r="G497" s="125"/>
      <c r="H497" s="125"/>
      <c r="I497" s="125"/>
      <c r="J497" s="125"/>
      <c r="K497" s="125"/>
      <c r="L497" s="125"/>
      <c r="M497" s="125"/>
      <c r="N497" s="125"/>
      <c r="O497" s="125"/>
      <c r="P497" s="125"/>
      <c r="Q497" s="125"/>
      <c r="R497" s="125"/>
    </row>
    <row r="498" spans="1:18" ht="15.75" customHeight="1">
      <c r="A498" s="125"/>
      <c r="B498" s="125"/>
      <c r="C498" s="125"/>
      <c r="D498" s="125"/>
      <c r="E498" s="125"/>
      <c r="F498" s="125"/>
      <c r="G498" s="125"/>
      <c r="H498" s="125"/>
      <c r="I498" s="125"/>
      <c r="J498" s="125"/>
      <c r="K498" s="125"/>
      <c r="L498" s="125"/>
      <c r="M498" s="125"/>
      <c r="N498" s="125"/>
      <c r="O498" s="125"/>
      <c r="P498" s="125"/>
      <c r="Q498" s="125"/>
      <c r="R498" s="125"/>
    </row>
    <row r="499" spans="1:18" ht="15.75" customHeight="1">
      <c r="A499" s="125"/>
      <c r="B499" s="125"/>
      <c r="C499" s="125"/>
      <c r="D499" s="125"/>
      <c r="E499" s="125"/>
      <c r="F499" s="125"/>
      <c r="G499" s="125"/>
      <c r="H499" s="125"/>
      <c r="I499" s="125"/>
      <c r="J499" s="125"/>
      <c r="K499" s="125"/>
      <c r="L499" s="125"/>
      <c r="M499" s="125"/>
      <c r="N499" s="125"/>
      <c r="O499" s="125"/>
      <c r="P499" s="125"/>
      <c r="Q499" s="125"/>
      <c r="R499" s="125"/>
    </row>
    <row r="500" spans="1:18" ht="15.75" customHeight="1">
      <c r="A500" s="125"/>
      <c r="B500" s="125"/>
      <c r="C500" s="125"/>
      <c r="D500" s="125"/>
      <c r="E500" s="125"/>
      <c r="F500" s="125"/>
      <c r="G500" s="125"/>
      <c r="H500" s="125"/>
      <c r="I500" s="125"/>
      <c r="J500" s="125"/>
      <c r="K500" s="125"/>
      <c r="L500" s="125"/>
      <c r="M500" s="125"/>
      <c r="N500" s="125"/>
      <c r="O500" s="125"/>
      <c r="P500" s="125"/>
      <c r="Q500" s="125"/>
      <c r="R500" s="125"/>
    </row>
    <row r="501" spans="1:18" ht="15.75" customHeight="1">
      <c r="A501" s="125"/>
      <c r="B501" s="125"/>
      <c r="C501" s="125"/>
      <c r="D501" s="125"/>
      <c r="E501" s="125"/>
      <c r="F501" s="125"/>
      <c r="G501" s="125"/>
      <c r="H501" s="125"/>
      <c r="I501" s="125"/>
      <c r="J501" s="125"/>
      <c r="K501" s="125"/>
      <c r="L501" s="125"/>
      <c r="M501" s="125"/>
      <c r="N501" s="125"/>
      <c r="O501" s="125"/>
      <c r="P501" s="125"/>
      <c r="Q501" s="125"/>
      <c r="R501" s="125"/>
    </row>
    <row r="502" spans="1:18" ht="15.75" customHeight="1">
      <c r="A502" s="125"/>
      <c r="B502" s="125"/>
      <c r="C502" s="125"/>
      <c r="D502" s="125"/>
      <c r="E502" s="125"/>
      <c r="F502" s="125"/>
      <c r="G502" s="125"/>
      <c r="H502" s="125"/>
      <c r="I502" s="125"/>
      <c r="J502" s="125"/>
      <c r="K502" s="125"/>
      <c r="L502" s="125"/>
      <c r="M502" s="125"/>
      <c r="N502" s="125"/>
      <c r="O502" s="125"/>
      <c r="P502" s="125"/>
      <c r="Q502" s="125"/>
      <c r="R502" s="125"/>
    </row>
    <row r="503" spans="1:18" ht="15.75" customHeight="1">
      <c r="A503" s="125"/>
      <c r="B503" s="125"/>
      <c r="C503" s="125"/>
      <c r="D503" s="125"/>
      <c r="E503" s="125"/>
      <c r="F503" s="125"/>
      <c r="G503" s="125"/>
      <c r="H503" s="125"/>
      <c r="I503" s="125"/>
      <c r="J503" s="125"/>
      <c r="K503" s="125"/>
      <c r="L503" s="125"/>
      <c r="M503" s="125"/>
      <c r="N503" s="125"/>
      <c r="O503" s="125"/>
      <c r="P503" s="125"/>
      <c r="Q503" s="125"/>
      <c r="R503" s="125"/>
    </row>
    <row r="504" spans="1:18" ht="15.75" customHeight="1">
      <c r="A504" s="125"/>
      <c r="B504" s="125"/>
      <c r="C504" s="125"/>
      <c r="D504" s="125"/>
      <c r="E504" s="125"/>
      <c r="F504" s="125"/>
      <c r="G504" s="125"/>
      <c r="H504" s="125"/>
      <c r="I504" s="125"/>
      <c r="J504" s="125"/>
      <c r="K504" s="125"/>
      <c r="L504" s="125"/>
      <c r="M504" s="125"/>
      <c r="N504" s="125"/>
      <c r="O504" s="125"/>
      <c r="P504" s="125"/>
      <c r="Q504" s="125"/>
      <c r="R504" s="125"/>
    </row>
    <row r="505" spans="1:18" ht="15.75" customHeight="1">
      <c r="A505" s="125"/>
      <c r="B505" s="125"/>
      <c r="C505" s="125"/>
      <c r="D505" s="125"/>
      <c r="E505" s="125"/>
      <c r="F505" s="125"/>
      <c r="G505" s="125"/>
      <c r="H505" s="125"/>
      <c r="I505" s="125"/>
      <c r="J505" s="125"/>
      <c r="K505" s="125"/>
      <c r="L505" s="125"/>
      <c r="M505" s="125"/>
      <c r="N505" s="125"/>
      <c r="O505" s="125"/>
      <c r="P505" s="125"/>
      <c r="Q505" s="125"/>
      <c r="R505" s="125"/>
    </row>
    <row r="506" spans="1:18" ht="15.75" customHeight="1">
      <c r="A506" s="125"/>
      <c r="B506" s="125"/>
      <c r="C506" s="125"/>
      <c r="D506" s="125"/>
      <c r="E506" s="125"/>
      <c r="F506" s="125"/>
      <c r="G506" s="125"/>
      <c r="H506" s="125"/>
      <c r="I506" s="125"/>
      <c r="J506" s="125"/>
      <c r="K506" s="125"/>
      <c r="L506" s="125"/>
      <c r="M506" s="125"/>
      <c r="N506" s="125"/>
      <c r="O506" s="125"/>
      <c r="P506" s="125"/>
      <c r="Q506" s="125"/>
      <c r="R506" s="125"/>
    </row>
    <row r="507" spans="1:18" ht="15.75" customHeight="1">
      <c r="A507" s="125"/>
      <c r="B507" s="125"/>
      <c r="C507" s="125"/>
      <c r="D507" s="125"/>
      <c r="E507" s="125"/>
      <c r="F507" s="125"/>
      <c r="G507" s="125"/>
      <c r="H507" s="125"/>
      <c r="I507" s="125"/>
      <c r="J507" s="125"/>
      <c r="K507" s="125"/>
      <c r="L507" s="125"/>
      <c r="M507" s="125"/>
      <c r="N507" s="125"/>
      <c r="O507" s="125"/>
      <c r="P507" s="125"/>
      <c r="Q507" s="125"/>
      <c r="R507" s="125"/>
    </row>
    <row r="508" spans="1:18" ht="15.75" customHeight="1">
      <c r="A508" s="125"/>
      <c r="B508" s="125"/>
      <c r="C508" s="125"/>
      <c r="D508" s="125"/>
      <c r="E508" s="125"/>
      <c r="F508" s="125"/>
      <c r="G508" s="125"/>
      <c r="H508" s="125"/>
      <c r="I508" s="125"/>
      <c r="J508" s="125"/>
      <c r="K508" s="125"/>
      <c r="L508" s="125"/>
      <c r="M508" s="125"/>
      <c r="N508" s="125"/>
      <c r="O508" s="125"/>
      <c r="P508" s="125"/>
      <c r="Q508" s="125"/>
      <c r="R508" s="125"/>
    </row>
    <row r="509" spans="1:18" ht="15.75" customHeight="1">
      <c r="A509" s="125"/>
      <c r="B509" s="125"/>
      <c r="C509" s="125"/>
      <c r="D509" s="125"/>
      <c r="E509" s="125"/>
      <c r="F509" s="125"/>
      <c r="G509" s="125"/>
      <c r="H509" s="125"/>
      <c r="I509" s="125"/>
      <c r="J509" s="125"/>
      <c r="K509" s="125"/>
      <c r="L509" s="125"/>
      <c r="M509" s="125"/>
      <c r="N509" s="125"/>
      <c r="O509" s="125"/>
      <c r="P509" s="125"/>
      <c r="Q509" s="125"/>
      <c r="R509" s="125"/>
    </row>
    <row r="510" spans="1:18" ht="15.75" customHeight="1">
      <c r="A510" s="125"/>
      <c r="B510" s="125"/>
      <c r="C510" s="125"/>
      <c r="D510" s="125"/>
      <c r="E510" s="125"/>
      <c r="F510" s="125"/>
      <c r="G510" s="125"/>
      <c r="H510" s="125"/>
      <c r="I510" s="125"/>
      <c r="J510" s="125"/>
      <c r="K510" s="125"/>
      <c r="L510" s="125"/>
      <c r="M510" s="125"/>
      <c r="N510" s="125"/>
      <c r="O510" s="125"/>
      <c r="P510" s="125"/>
      <c r="Q510" s="125"/>
      <c r="R510" s="125"/>
    </row>
    <row r="511" spans="1:18" ht="15.75" customHeight="1">
      <c r="A511" s="125"/>
      <c r="B511" s="125"/>
      <c r="C511" s="125"/>
      <c r="D511" s="125"/>
      <c r="E511" s="125"/>
      <c r="F511" s="125"/>
      <c r="G511" s="125"/>
      <c r="H511" s="125"/>
      <c r="I511" s="125"/>
      <c r="J511" s="125"/>
      <c r="K511" s="125"/>
      <c r="L511" s="125"/>
      <c r="M511" s="125"/>
      <c r="N511" s="125"/>
      <c r="O511" s="125"/>
      <c r="P511" s="125"/>
      <c r="Q511" s="125"/>
      <c r="R511" s="125"/>
    </row>
    <row r="512" spans="1:18" ht="15.75" customHeight="1">
      <c r="A512" s="125"/>
      <c r="B512" s="125"/>
      <c r="C512" s="125"/>
      <c r="D512" s="125"/>
      <c r="E512" s="125"/>
      <c r="F512" s="125"/>
      <c r="G512" s="125"/>
      <c r="H512" s="125"/>
      <c r="I512" s="125"/>
      <c r="J512" s="125"/>
      <c r="K512" s="125"/>
      <c r="L512" s="125"/>
      <c r="M512" s="125"/>
      <c r="N512" s="125"/>
      <c r="O512" s="125"/>
      <c r="P512" s="125"/>
      <c r="Q512" s="125"/>
      <c r="R512" s="125"/>
    </row>
    <row r="513" spans="1:18" ht="15.75" customHeight="1">
      <c r="A513" s="125"/>
      <c r="B513" s="125"/>
      <c r="C513" s="125"/>
      <c r="D513" s="125"/>
      <c r="E513" s="125"/>
      <c r="F513" s="125"/>
      <c r="G513" s="125"/>
      <c r="H513" s="125"/>
      <c r="I513" s="125"/>
      <c r="J513" s="125"/>
      <c r="K513" s="125"/>
      <c r="L513" s="125"/>
      <c r="M513" s="125"/>
      <c r="N513" s="125"/>
      <c r="O513" s="125"/>
      <c r="P513" s="125"/>
      <c r="Q513" s="125"/>
      <c r="R513" s="125"/>
    </row>
    <row r="514" spans="1:18" ht="15.75" customHeight="1">
      <c r="A514" s="125"/>
      <c r="B514" s="125"/>
      <c r="C514" s="125"/>
      <c r="D514" s="125"/>
      <c r="E514" s="125"/>
      <c r="F514" s="125"/>
      <c r="G514" s="125"/>
      <c r="H514" s="125"/>
      <c r="I514" s="125"/>
      <c r="J514" s="125"/>
      <c r="K514" s="125"/>
      <c r="L514" s="125"/>
      <c r="M514" s="125"/>
      <c r="N514" s="125"/>
      <c r="O514" s="125"/>
      <c r="P514" s="125"/>
      <c r="Q514" s="125"/>
      <c r="R514" s="125"/>
    </row>
    <row r="515" spans="1:18" ht="15.75" customHeight="1">
      <c r="A515" s="125"/>
      <c r="B515" s="125"/>
      <c r="C515" s="125"/>
      <c r="D515" s="125"/>
      <c r="E515" s="125"/>
      <c r="F515" s="125"/>
      <c r="G515" s="125"/>
      <c r="H515" s="125"/>
      <c r="I515" s="125"/>
      <c r="J515" s="125"/>
      <c r="K515" s="125"/>
      <c r="L515" s="125"/>
      <c r="M515" s="125"/>
      <c r="N515" s="125"/>
      <c r="O515" s="125"/>
      <c r="P515" s="125"/>
      <c r="Q515" s="125"/>
      <c r="R515" s="125"/>
    </row>
    <row r="516" spans="1:18" ht="15.75" customHeight="1">
      <c r="A516" s="125"/>
      <c r="B516" s="125"/>
      <c r="C516" s="125"/>
      <c r="D516" s="125"/>
      <c r="E516" s="125"/>
      <c r="F516" s="125"/>
      <c r="G516" s="125"/>
      <c r="H516" s="125"/>
      <c r="I516" s="125"/>
      <c r="J516" s="125"/>
      <c r="K516" s="125"/>
      <c r="L516" s="125"/>
      <c r="M516" s="125"/>
      <c r="N516" s="125"/>
      <c r="O516" s="125"/>
      <c r="P516" s="125"/>
      <c r="Q516" s="125"/>
      <c r="R516" s="125"/>
    </row>
    <row r="517" spans="1:18" ht="15.75" customHeight="1">
      <c r="A517" s="125"/>
      <c r="B517" s="125"/>
      <c r="C517" s="125"/>
      <c r="D517" s="125"/>
      <c r="E517" s="125"/>
      <c r="F517" s="125"/>
      <c r="G517" s="125"/>
      <c r="H517" s="125"/>
      <c r="I517" s="125"/>
      <c r="J517" s="125"/>
      <c r="K517" s="125"/>
      <c r="L517" s="125"/>
      <c r="M517" s="125"/>
      <c r="N517" s="125"/>
      <c r="O517" s="125"/>
      <c r="P517" s="125"/>
      <c r="Q517" s="125"/>
      <c r="R517" s="125"/>
    </row>
    <row r="518" spans="1:18" ht="15.75" customHeight="1">
      <c r="A518" s="125"/>
      <c r="B518" s="125"/>
      <c r="C518" s="125"/>
      <c r="D518" s="125"/>
      <c r="E518" s="125"/>
      <c r="F518" s="125"/>
      <c r="G518" s="125"/>
      <c r="H518" s="125"/>
      <c r="I518" s="125"/>
      <c r="J518" s="125"/>
      <c r="K518" s="125"/>
      <c r="L518" s="125"/>
      <c r="M518" s="125"/>
      <c r="N518" s="125"/>
      <c r="O518" s="125"/>
      <c r="P518" s="125"/>
      <c r="Q518" s="125"/>
      <c r="R518" s="125"/>
    </row>
    <row r="519" spans="1:18" ht="15.75" customHeight="1">
      <c r="A519" s="125"/>
      <c r="B519" s="125"/>
      <c r="C519" s="125"/>
      <c r="D519" s="125"/>
      <c r="E519" s="125"/>
      <c r="F519" s="125"/>
      <c r="G519" s="125"/>
      <c r="H519" s="125"/>
      <c r="I519" s="125"/>
      <c r="J519" s="125"/>
      <c r="K519" s="125"/>
      <c r="L519" s="125"/>
      <c r="M519" s="125"/>
      <c r="N519" s="125"/>
      <c r="O519" s="125"/>
      <c r="P519" s="125"/>
      <c r="Q519" s="125"/>
      <c r="R519" s="125"/>
    </row>
    <row r="520" spans="1:18" ht="15.75" customHeight="1">
      <c r="A520" s="125"/>
      <c r="B520" s="125"/>
      <c r="C520" s="125"/>
      <c r="D520" s="125"/>
      <c r="E520" s="125"/>
      <c r="F520" s="125"/>
      <c r="G520" s="125"/>
      <c r="H520" s="125"/>
      <c r="I520" s="125"/>
      <c r="J520" s="125"/>
      <c r="K520" s="125"/>
      <c r="L520" s="125"/>
      <c r="M520" s="125"/>
      <c r="N520" s="125"/>
      <c r="O520" s="125"/>
      <c r="P520" s="125"/>
      <c r="Q520" s="125"/>
      <c r="R520" s="125"/>
    </row>
    <row r="521" spans="1:18" ht="15.75" customHeight="1">
      <c r="A521" s="125"/>
      <c r="B521" s="125"/>
      <c r="C521" s="125"/>
      <c r="D521" s="125"/>
      <c r="E521" s="125"/>
      <c r="F521" s="125"/>
      <c r="G521" s="125"/>
      <c r="H521" s="125"/>
      <c r="I521" s="125"/>
      <c r="J521" s="125"/>
      <c r="K521" s="125"/>
      <c r="L521" s="125"/>
      <c r="M521" s="125"/>
      <c r="N521" s="125"/>
      <c r="O521" s="125"/>
      <c r="P521" s="125"/>
      <c r="Q521" s="125"/>
      <c r="R521" s="125"/>
    </row>
    <row r="522" spans="1:18" ht="15.75" customHeight="1">
      <c r="A522" s="125"/>
      <c r="B522" s="125"/>
      <c r="C522" s="125"/>
      <c r="D522" s="125"/>
      <c r="E522" s="125"/>
      <c r="F522" s="125"/>
      <c r="G522" s="125"/>
      <c r="H522" s="125"/>
      <c r="I522" s="125"/>
      <c r="J522" s="125"/>
      <c r="K522" s="125"/>
      <c r="L522" s="125"/>
      <c r="M522" s="125"/>
      <c r="N522" s="125"/>
      <c r="O522" s="125"/>
      <c r="P522" s="125"/>
      <c r="Q522" s="125"/>
      <c r="R522" s="125"/>
    </row>
    <row r="523" spans="1:18" ht="15.75" customHeight="1">
      <c r="A523" s="125"/>
      <c r="B523" s="125"/>
      <c r="C523" s="125"/>
      <c r="D523" s="125"/>
      <c r="E523" s="125"/>
      <c r="F523" s="125"/>
      <c r="G523" s="125"/>
      <c r="H523" s="125"/>
      <c r="I523" s="125"/>
      <c r="J523" s="125"/>
      <c r="K523" s="125"/>
      <c r="L523" s="125"/>
      <c r="M523" s="125"/>
      <c r="N523" s="125"/>
      <c r="O523" s="125"/>
      <c r="P523" s="125"/>
      <c r="Q523" s="125"/>
      <c r="R523" s="125"/>
    </row>
    <row r="524" spans="1:18" ht="15.75" customHeight="1">
      <c r="A524" s="125"/>
      <c r="B524" s="125"/>
      <c r="C524" s="125"/>
      <c r="D524" s="125"/>
      <c r="E524" s="125"/>
      <c r="F524" s="125"/>
      <c r="G524" s="125"/>
      <c r="H524" s="125"/>
      <c r="I524" s="125"/>
      <c r="J524" s="125"/>
      <c r="K524" s="125"/>
      <c r="L524" s="125"/>
      <c r="M524" s="125"/>
      <c r="N524" s="125"/>
      <c r="O524" s="125"/>
      <c r="P524" s="125"/>
      <c r="Q524" s="125"/>
      <c r="R524" s="125"/>
    </row>
    <row r="525" spans="1:18" ht="15.75" customHeight="1">
      <c r="A525" s="125"/>
      <c r="B525" s="125"/>
      <c r="C525" s="125"/>
      <c r="D525" s="125"/>
      <c r="E525" s="125"/>
      <c r="F525" s="125"/>
      <c r="G525" s="125"/>
      <c r="H525" s="125"/>
      <c r="I525" s="125"/>
      <c r="J525" s="125"/>
      <c r="K525" s="125"/>
      <c r="L525" s="125"/>
      <c r="M525" s="125"/>
      <c r="N525" s="125"/>
      <c r="O525" s="125"/>
      <c r="P525" s="125"/>
      <c r="Q525" s="125"/>
      <c r="R525" s="125"/>
    </row>
    <row r="526" spans="1:18" ht="15.75" customHeight="1">
      <c r="A526" s="125"/>
      <c r="B526" s="125"/>
      <c r="C526" s="125"/>
      <c r="D526" s="125"/>
      <c r="E526" s="125"/>
      <c r="F526" s="125"/>
      <c r="G526" s="125"/>
      <c r="H526" s="125"/>
      <c r="I526" s="125"/>
      <c r="J526" s="125"/>
      <c r="K526" s="125"/>
      <c r="L526" s="125"/>
      <c r="M526" s="125"/>
      <c r="N526" s="125"/>
      <c r="O526" s="125"/>
      <c r="P526" s="125"/>
      <c r="Q526" s="125"/>
      <c r="R526" s="125"/>
    </row>
    <row r="527" spans="1:18" ht="15.75" customHeight="1">
      <c r="A527" s="125"/>
      <c r="B527" s="125"/>
      <c r="C527" s="125"/>
      <c r="D527" s="125"/>
      <c r="E527" s="125"/>
      <c r="F527" s="125"/>
      <c r="G527" s="125"/>
      <c r="H527" s="125"/>
      <c r="I527" s="125"/>
      <c r="J527" s="125"/>
      <c r="K527" s="125"/>
      <c r="L527" s="125"/>
      <c r="M527" s="125"/>
      <c r="N527" s="125"/>
      <c r="O527" s="125"/>
      <c r="P527" s="125"/>
      <c r="Q527" s="125"/>
      <c r="R527" s="125"/>
    </row>
    <row r="528" spans="1:18" ht="15.75" customHeight="1">
      <c r="A528" s="125"/>
      <c r="B528" s="125"/>
      <c r="C528" s="125"/>
      <c r="D528" s="125"/>
      <c r="E528" s="125"/>
      <c r="F528" s="125"/>
      <c r="G528" s="125"/>
      <c r="H528" s="125"/>
      <c r="I528" s="125"/>
      <c r="J528" s="125"/>
      <c r="K528" s="125"/>
      <c r="L528" s="125"/>
      <c r="M528" s="125"/>
      <c r="N528" s="125"/>
      <c r="O528" s="125"/>
      <c r="P528" s="125"/>
      <c r="Q528" s="125"/>
      <c r="R528" s="125"/>
    </row>
    <row r="529" spans="1:18" ht="15.75" customHeight="1">
      <c r="A529" s="125"/>
      <c r="B529" s="125"/>
      <c r="C529" s="125"/>
      <c r="D529" s="125"/>
      <c r="E529" s="125"/>
      <c r="F529" s="125"/>
      <c r="G529" s="125"/>
      <c r="H529" s="125"/>
      <c r="I529" s="125"/>
      <c r="J529" s="125"/>
      <c r="K529" s="125"/>
      <c r="L529" s="125"/>
      <c r="M529" s="125"/>
      <c r="N529" s="125"/>
      <c r="O529" s="125"/>
      <c r="P529" s="125"/>
      <c r="Q529" s="125"/>
      <c r="R529" s="125"/>
    </row>
    <row r="530" spans="1:18" ht="15.75" customHeight="1">
      <c r="A530" s="125"/>
      <c r="B530" s="125"/>
      <c r="C530" s="125"/>
      <c r="D530" s="125"/>
      <c r="E530" s="125"/>
      <c r="F530" s="125"/>
      <c r="G530" s="125"/>
      <c r="H530" s="125"/>
      <c r="I530" s="125"/>
      <c r="J530" s="125"/>
      <c r="K530" s="125"/>
      <c r="L530" s="125"/>
      <c r="M530" s="125"/>
      <c r="N530" s="125"/>
      <c r="O530" s="125"/>
      <c r="P530" s="125"/>
      <c r="Q530" s="125"/>
      <c r="R530" s="125"/>
    </row>
    <row r="531" spans="1:18" ht="15.75" customHeight="1">
      <c r="A531" s="125"/>
      <c r="B531" s="125"/>
      <c r="C531" s="125"/>
      <c r="D531" s="125"/>
      <c r="E531" s="125"/>
      <c r="F531" s="125"/>
      <c r="G531" s="125"/>
      <c r="H531" s="125"/>
      <c r="I531" s="125"/>
      <c r="J531" s="125"/>
      <c r="K531" s="125"/>
      <c r="L531" s="125"/>
      <c r="M531" s="125"/>
      <c r="N531" s="125"/>
      <c r="O531" s="125"/>
      <c r="P531" s="125"/>
      <c r="Q531" s="125"/>
      <c r="R531" s="125"/>
    </row>
    <row r="532" spans="1:18" ht="15.75" customHeight="1">
      <c r="A532" s="125"/>
      <c r="B532" s="125"/>
      <c r="C532" s="125"/>
      <c r="D532" s="125"/>
      <c r="E532" s="125"/>
      <c r="F532" s="125"/>
      <c r="G532" s="125"/>
      <c r="H532" s="125"/>
      <c r="I532" s="125"/>
      <c r="J532" s="125"/>
      <c r="K532" s="125"/>
      <c r="L532" s="125"/>
      <c r="M532" s="125"/>
      <c r="N532" s="125"/>
      <c r="O532" s="125"/>
      <c r="P532" s="125"/>
      <c r="Q532" s="125"/>
      <c r="R532" s="125"/>
    </row>
    <row r="533" spans="1:18" ht="15.75" customHeight="1">
      <c r="A533" s="125"/>
      <c r="B533" s="125"/>
      <c r="C533" s="125"/>
      <c r="D533" s="125"/>
      <c r="E533" s="125"/>
      <c r="F533" s="125"/>
      <c r="G533" s="125"/>
      <c r="H533" s="125"/>
      <c r="I533" s="125"/>
      <c r="J533" s="125"/>
      <c r="K533" s="125"/>
      <c r="L533" s="125"/>
      <c r="M533" s="125"/>
      <c r="N533" s="125"/>
      <c r="O533" s="125"/>
      <c r="P533" s="125"/>
      <c r="Q533" s="125"/>
      <c r="R533" s="125"/>
    </row>
    <row r="534" spans="1:18" ht="15.75" customHeight="1">
      <c r="A534" s="125"/>
      <c r="B534" s="125"/>
      <c r="C534" s="125"/>
      <c r="D534" s="125"/>
      <c r="E534" s="125"/>
      <c r="F534" s="125"/>
      <c r="G534" s="125"/>
      <c r="H534" s="125"/>
      <c r="I534" s="125"/>
      <c r="J534" s="125"/>
      <c r="K534" s="125"/>
      <c r="L534" s="125"/>
      <c r="M534" s="125"/>
      <c r="N534" s="125"/>
      <c r="O534" s="125"/>
      <c r="P534" s="125"/>
      <c r="Q534" s="125"/>
      <c r="R534" s="125"/>
    </row>
    <row r="535" spans="1:18" ht="15.75" customHeight="1">
      <c r="A535" s="125"/>
      <c r="B535" s="125"/>
      <c r="C535" s="125"/>
      <c r="D535" s="125"/>
      <c r="E535" s="125"/>
      <c r="F535" s="125"/>
      <c r="G535" s="125"/>
      <c r="H535" s="125"/>
      <c r="I535" s="125"/>
      <c r="J535" s="125"/>
      <c r="K535" s="125"/>
      <c r="L535" s="125"/>
      <c r="M535" s="125"/>
      <c r="N535" s="125"/>
      <c r="O535" s="125"/>
      <c r="P535" s="125"/>
      <c r="Q535" s="125"/>
      <c r="R535" s="125"/>
    </row>
    <row r="536" spans="1:18" ht="15.75" customHeight="1">
      <c r="A536" s="125"/>
      <c r="B536" s="125"/>
      <c r="C536" s="125"/>
      <c r="D536" s="125"/>
      <c r="E536" s="125"/>
      <c r="F536" s="125"/>
      <c r="G536" s="125"/>
      <c r="H536" s="125"/>
      <c r="I536" s="125"/>
      <c r="J536" s="125"/>
      <c r="K536" s="125"/>
      <c r="L536" s="125"/>
      <c r="M536" s="125"/>
      <c r="N536" s="125"/>
      <c r="O536" s="125"/>
      <c r="P536" s="125"/>
      <c r="Q536" s="125"/>
      <c r="R536" s="125"/>
    </row>
    <row r="537" spans="1:18" ht="15.75" customHeight="1">
      <c r="A537" s="125"/>
      <c r="B537" s="125"/>
      <c r="C537" s="125"/>
      <c r="D537" s="125"/>
      <c r="E537" s="125"/>
      <c r="F537" s="125"/>
      <c r="G537" s="125"/>
      <c r="H537" s="125"/>
      <c r="I537" s="125"/>
      <c r="J537" s="125"/>
      <c r="K537" s="125"/>
      <c r="L537" s="125"/>
      <c r="M537" s="125"/>
      <c r="N537" s="125"/>
      <c r="O537" s="125"/>
      <c r="P537" s="125"/>
      <c r="Q537" s="125"/>
      <c r="R537" s="125"/>
    </row>
    <row r="538" spans="1:18" ht="15.75" customHeight="1">
      <c r="A538" s="125"/>
      <c r="B538" s="125"/>
      <c r="C538" s="125"/>
      <c r="D538" s="125"/>
      <c r="E538" s="125"/>
      <c r="F538" s="125"/>
      <c r="G538" s="125"/>
      <c r="H538" s="125"/>
      <c r="I538" s="125"/>
      <c r="J538" s="125"/>
      <c r="K538" s="125"/>
      <c r="L538" s="125"/>
      <c r="M538" s="125"/>
      <c r="N538" s="125"/>
      <c r="O538" s="125"/>
      <c r="P538" s="125"/>
      <c r="Q538" s="125"/>
      <c r="R538" s="125"/>
    </row>
    <row r="539" spans="1:18" ht="15.75" customHeight="1">
      <c r="A539" s="125"/>
      <c r="B539" s="125"/>
      <c r="C539" s="125"/>
      <c r="D539" s="125"/>
      <c r="E539" s="125"/>
      <c r="F539" s="125"/>
      <c r="G539" s="125"/>
      <c r="H539" s="125"/>
      <c r="I539" s="125"/>
      <c r="J539" s="125"/>
      <c r="K539" s="125"/>
      <c r="L539" s="125"/>
      <c r="M539" s="125"/>
      <c r="N539" s="125"/>
      <c r="O539" s="125"/>
      <c r="P539" s="125"/>
      <c r="Q539" s="125"/>
      <c r="R539" s="125"/>
    </row>
    <row r="540" spans="1:18" ht="15.75" customHeight="1">
      <c r="A540" s="125"/>
      <c r="B540" s="125"/>
      <c r="C540" s="125"/>
      <c r="D540" s="125"/>
      <c r="E540" s="125"/>
      <c r="F540" s="125"/>
      <c r="G540" s="125"/>
      <c r="H540" s="125"/>
      <c r="I540" s="125"/>
      <c r="J540" s="125"/>
      <c r="K540" s="125"/>
      <c r="L540" s="125"/>
      <c r="M540" s="125"/>
      <c r="N540" s="125"/>
      <c r="O540" s="125"/>
      <c r="P540" s="125"/>
      <c r="Q540" s="125"/>
      <c r="R540" s="125"/>
    </row>
    <row r="541" spans="1:18" ht="15.75" customHeight="1">
      <c r="A541" s="125"/>
      <c r="B541" s="125"/>
      <c r="C541" s="125"/>
      <c r="D541" s="125"/>
      <c r="E541" s="125"/>
      <c r="F541" s="125"/>
      <c r="G541" s="125"/>
      <c r="H541" s="125"/>
      <c r="I541" s="125"/>
      <c r="J541" s="125"/>
      <c r="K541" s="125"/>
      <c r="L541" s="125"/>
      <c r="M541" s="125"/>
      <c r="N541" s="125"/>
      <c r="O541" s="125"/>
      <c r="P541" s="125"/>
      <c r="Q541" s="125"/>
      <c r="R541" s="125"/>
    </row>
    <row r="542" spans="1:18" ht="15.75" customHeight="1">
      <c r="A542" s="125"/>
      <c r="B542" s="125"/>
      <c r="C542" s="125"/>
      <c r="D542" s="125"/>
      <c r="E542" s="125"/>
      <c r="F542" s="125"/>
      <c r="G542" s="125"/>
      <c r="H542" s="125"/>
      <c r="I542" s="125"/>
      <c r="J542" s="125"/>
      <c r="K542" s="125"/>
      <c r="L542" s="125"/>
      <c r="M542" s="125"/>
      <c r="N542" s="125"/>
      <c r="O542" s="125"/>
      <c r="P542" s="125"/>
      <c r="Q542" s="125"/>
      <c r="R542" s="125"/>
    </row>
    <row r="543" spans="1:18" ht="15.75" customHeight="1">
      <c r="A543" s="125"/>
      <c r="B543" s="125"/>
      <c r="C543" s="125"/>
      <c r="D543" s="125"/>
      <c r="E543" s="125"/>
      <c r="F543" s="125"/>
      <c r="G543" s="125"/>
      <c r="H543" s="125"/>
      <c r="I543" s="125"/>
      <c r="J543" s="125"/>
      <c r="K543" s="125"/>
      <c r="L543" s="125"/>
      <c r="M543" s="125"/>
      <c r="N543" s="125"/>
      <c r="O543" s="125"/>
      <c r="P543" s="125"/>
      <c r="Q543" s="125"/>
      <c r="R543" s="125"/>
    </row>
    <row r="544" spans="1:18" ht="15.75" customHeight="1">
      <c r="A544" s="125"/>
      <c r="B544" s="125"/>
      <c r="C544" s="125"/>
      <c r="D544" s="125"/>
      <c r="E544" s="125"/>
      <c r="F544" s="125"/>
      <c r="G544" s="125"/>
      <c r="H544" s="125"/>
      <c r="I544" s="125"/>
      <c r="J544" s="125"/>
      <c r="K544" s="125"/>
      <c r="L544" s="125"/>
      <c r="M544" s="125"/>
      <c r="N544" s="125"/>
      <c r="O544" s="125"/>
      <c r="P544" s="125"/>
      <c r="Q544" s="125"/>
      <c r="R544" s="125"/>
    </row>
    <row r="545" spans="1:18" ht="15.75" customHeight="1">
      <c r="A545" s="125"/>
      <c r="B545" s="125"/>
      <c r="C545" s="125"/>
      <c r="D545" s="125"/>
      <c r="E545" s="125"/>
      <c r="F545" s="125"/>
      <c r="G545" s="125"/>
      <c r="H545" s="125"/>
      <c r="I545" s="125"/>
      <c r="J545" s="125"/>
      <c r="K545" s="125"/>
      <c r="L545" s="125"/>
      <c r="M545" s="125"/>
      <c r="N545" s="125"/>
      <c r="O545" s="125"/>
      <c r="P545" s="125"/>
      <c r="Q545" s="125"/>
      <c r="R545" s="125"/>
    </row>
    <row r="546" spans="1:18" ht="15.75" customHeight="1">
      <c r="A546" s="125"/>
      <c r="B546" s="125"/>
      <c r="C546" s="125"/>
      <c r="D546" s="125"/>
      <c r="E546" s="125"/>
      <c r="F546" s="125"/>
      <c r="G546" s="125"/>
      <c r="H546" s="125"/>
      <c r="I546" s="125"/>
      <c r="J546" s="125"/>
      <c r="K546" s="125"/>
      <c r="L546" s="125"/>
      <c r="M546" s="125"/>
      <c r="N546" s="125"/>
      <c r="O546" s="125"/>
      <c r="P546" s="125"/>
      <c r="Q546" s="125"/>
      <c r="R546" s="125"/>
    </row>
    <row r="547" spans="1:18" ht="15.75" customHeight="1">
      <c r="A547" s="125"/>
      <c r="B547" s="125"/>
      <c r="C547" s="125"/>
      <c r="D547" s="125"/>
      <c r="E547" s="125"/>
      <c r="F547" s="125"/>
      <c r="G547" s="125"/>
      <c r="H547" s="125"/>
      <c r="I547" s="125"/>
      <c r="J547" s="125"/>
      <c r="K547" s="125"/>
      <c r="L547" s="125"/>
      <c r="M547" s="125"/>
      <c r="N547" s="125"/>
      <c r="O547" s="125"/>
      <c r="P547" s="125"/>
      <c r="Q547" s="125"/>
      <c r="R547" s="125"/>
    </row>
    <row r="548" spans="1:18" ht="15.75" customHeight="1">
      <c r="A548" s="125"/>
      <c r="B548" s="125"/>
      <c r="C548" s="125"/>
      <c r="D548" s="125"/>
      <c r="E548" s="125"/>
      <c r="F548" s="125"/>
      <c r="G548" s="125"/>
      <c r="H548" s="125"/>
      <c r="I548" s="125"/>
      <c r="J548" s="125"/>
      <c r="K548" s="125"/>
      <c r="L548" s="125"/>
      <c r="M548" s="125"/>
      <c r="N548" s="125"/>
      <c r="O548" s="125"/>
      <c r="P548" s="125"/>
      <c r="Q548" s="125"/>
      <c r="R548" s="125"/>
    </row>
    <row r="549" spans="1:18" ht="15.75" customHeight="1">
      <c r="A549" s="125"/>
      <c r="B549" s="125"/>
      <c r="C549" s="125"/>
      <c r="D549" s="125"/>
      <c r="E549" s="125"/>
      <c r="F549" s="125"/>
      <c r="G549" s="125"/>
      <c r="H549" s="125"/>
      <c r="I549" s="125"/>
      <c r="J549" s="125"/>
      <c r="K549" s="125"/>
      <c r="L549" s="125"/>
      <c r="M549" s="125"/>
      <c r="N549" s="125"/>
      <c r="O549" s="125"/>
      <c r="P549" s="125"/>
      <c r="Q549" s="125"/>
      <c r="R549" s="125"/>
    </row>
    <row r="550" spans="1:18" ht="15.75" customHeight="1">
      <c r="A550" s="125"/>
      <c r="B550" s="125"/>
      <c r="C550" s="125"/>
      <c r="D550" s="125"/>
      <c r="E550" s="125"/>
      <c r="F550" s="125"/>
      <c r="G550" s="125"/>
      <c r="H550" s="125"/>
      <c r="I550" s="125"/>
      <c r="J550" s="125"/>
      <c r="K550" s="125"/>
      <c r="L550" s="125"/>
      <c r="M550" s="125"/>
      <c r="N550" s="125"/>
      <c r="O550" s="125"/>
      <c r="P550" s="125"/>
      <c r="Q550" s="125"/>
      <c r="R550" s="125"/>
    </row>
    <row r="551" spans="1:18" ht="15.75" customHeight="1">
      <c r="A551" s="125"/>
      <c r="B551" s="125"/>
      <c r="C551" s="125"/>
      <c r="D551" s="125"/>
      <c r="E551" s="125"/>
      <c r="F551" s="125"/>
      <c r="G551" s="125"/>
      <c r="H551" s="125"/>
      <c r="I551" s="125"/>
      <c r="J551" s="125"/>
      <c r="K551" s="125"/>
      <c r="L551" s="125"/>
      <c r="M551" s="125"/>
      <c r="N551" s="125"/>
      <c r="O551" s="125"/>
      <c r="P551" s="125"/>
      <c r="Q551" s="125"/>
      <c r="R551" s="125"/>
    </row>
    <row r="552" spans="1:18" ht="15.75" customHeight="1">
      <c r="A552" s="125"/>
      <c r="B552" s="125"/>
      <c r="C552" s="125"/>
      <c r="D552" s="125"/>
      <c r="E552" s="125"/>
      <c r="F552" s="125"/>
      <c r="G552" s="125"/>
      <c r="H552" s="125"/>
      <c r="I552" s="125"/>
      <c r="J552" s="125"/>
      <c r="K552" s="125"/>
      <c r="L552" s="125"/>
      <c r="M552" s="125"/>
      <c r="N552" s="125"/>
      <c r="O552" s="125"/>
      <c r="P552" s="125"/>
      <c r="Q552" s="125"/>
      <c r="R552" s="125"/>
    </row>
    <row r="553" spans="1:18" ht="15.75" customHeight="1">
      <c r="A553" s="125"/>
      <c r="B553" s="125"/>
      <c r="C553" s="125"/>
      <c r="D553" s="125"/>
      <c r="E553" s="125"/>
      <c r="F553" s="125"/>
      <c r="G553" s="125"/>
      <c r="H553" s="125"/>
      <c r="I553" s="125"/>
      <c r="J553" s="125"/>
      <c r="K553" s="125"/>
      <c r="L553" s="125"/>
      <c r="M553" s="125"/>
      <c r="N553" s="125"/>
      <c r="O553" s="125"/>
      <c r="P553" s="125"/>
      <c r="Q553" s="125"/>
      <c r="R553" s="125"/>
    </row>
    <row r="554" spans="1:18" ht="15.75" customHeight="1">
      <c r="A554" s="125"/>
      <c r="B554" s="125"/>
      <c r="C554" s="125"/>
      <c r="D554" s="125"/>
      <c r="E554" s="125"/>
      <c r="F554" s="125"/>
      <c r="G554" s="125"/>
      <c r="H554" s="125"/>
      <c r="I554" s="125"/>
      <c r="J554" s="125"/>
      <c r="K554" s="125"/>
      <c r="L554" s="125"/>
      <c r="M554" s="125"/>
      <c r="N554" s="125"/>
      <c r="O554" s="125"/>
      <c r="P554" s="125"/>
      <c r="Q554" s="125"/>
      <c r="R554" s="125"/>
    </row>
    <row r="555" spans="1:18" ht="15.75" customHeight="1">
      <c r="A555" s="125"/>
      <c r="B555" s="125"/>
      <c r="C555" s="125"/>
      <c r="D555" s="125"/>
      <c r="E555" s="125"/>
      <c r="F555" s="125"/>
      <c r="G555" s="125"/>
      <c r="H555" s="125"/>
      <c r="I555" s="125"/>
      <c r="J555" s="125"/>
      <c r="K555" s="125"/>
      <c r="L555" s="125"/>
      <c r="M555" s="125"/>
      <c r="N555" s="125"/>
      <c r="O555" s="125"/>
      <c r="P555" s="125"/>
      <c r="Q555" s="125"/>
      <c r="R555" s="125"/>
    </row>
    <row r="556" spans="1:18" ht="15.75" customHeight="1">
      <c r="A556" s="125"/>
      <c r="B556" s="125"/>
      <c r="C556" s="125"/>
      <c r="D556" s="125"/>
      <c r="E556" s="125"/>
      <c r="F556" s="125"/>
      <c r="G556" s="125"/>
      <c r="H556" s="125"/>
      <c r="I556" s="125"/>
      <c r="J556" s="125"/>
      <c r="K556" s="125"/>
      <c r="L556" s="125"/>
      <c r="M556" s="125"/>
      <c r="N556" s="125"/>
      <c r="O556" s="125"/>
      <c r="P556" s="125"/>
      <c r="Q556" s="125"/>
      <c r="R556" s="125"/>
    </row>
    <row r="557" spans="1:18" ht="15.75" customHeight="1">
      <c r="A557" s="125"/>
      <c r="B557" s="125"/>
      <c r="C557" s="125"/>
      <c r="D557" s="125"/>
      <c r="E557" s="125"/>
      <c r="F557" s="125"/>
      <c r="G557" s="125"/>
      <c r="H557" s="125"/>
      <c r="I557" s="125"/>
      <c r="J557" s="125"/>
      <c r="K557" s="125"/>
      <c r="L557" s="125"/>
      <c r="M557" s="125"/>
      <c r="N557" s="125"/>
      <c r="O557" s="125"/>
      <c r="P557" s="125"/>
      <c r="Q557" s="125"/>
      <c r="R557" s="125"/>
    </row>
    <row r="558" spans="1:18" ht="15.75" customHeight="1">
      <c r="A558" s="125"/>
      <c r="B558" s="125"/>
      <c r="C558" s="125"/>
      <c r="D558" s="125"/>
      <c r="E558" s="125"/>
      <c r="F558" s="125"/>
      <c r="G558" s="125"/>
      <c r="H558" s="125"/>
      <c r="I558" s="125"/>
      <c r="J558" s="125"/>
      <c r="K558" s="125"/>
      <c r="L558" s="125"/>
      <c r="M558" s="125"/>
      <c r="N558" s="125"/>
      <c r="O558" s="125"/>
      <c r="P558" s="125"/>
      <c r="Q558" s="125"/>
      <c r="R558" s="125"/>
    </row>
    <row r="559" spans="1:18" ht="15.75" customHeight="1">
      <c r="A559" s="125"/>
      <c r="B559" s="125"/>
      <c r="C559" s="125"/>
      <c r="D559" s="125"/>
      <c r="E559" s="125"/>
      <c r="F559" s="125"/>
      <c r="G559" s="125"/>
      <c r="H559" s="125"/>
      <c r="I559" s="125"/>
      <c r="J559" s="125"/>
      <c r="K559" s="125"/>
      <c r="L559" s="125"/>
      <c r="M559" s="125"/>
      <c r="N559" s="125"/>
      <c r="O559" s="125"/>
      <c r="P559" s="125"/>
      <c r="Q559" s="125"/>
      <c r="R559" s="125"/>
    </row>
    <row r="560" spans="1:18" ht="15.75" customHeight="1">
      <c r="A560" s="125"/>
      <c r="B560" s="125"/>
      <c r="C560" s="125"/>
      <c r="D560" s="125"/>
      <c r="E560" s="125"/>
      <c r="F560" s="125"/>
      <c r="G560" s="125"/>
      <c r="H560" s="125"/>
      <c r="I560" s="125"/>
      <c r="J560" s="125"/>
      <c r="K560" s="125"/>
      <c r="L560" s="125"/>
      <c r="M560" s="125"/>
      <c r="N560" s="125"/>
      <c r="O560" s="125"/>
      <c r="P560" s="125"/>
      <c r="Q560" s="125"/>
      <c r="R560" s="125"/>
    </row>
    <row r="561" spans="1:18" ht="15.75" customHeight="1">
      <c r="A561" s="125"/>
      <c r="B561" s="125"/>
      <c r="C561" s="125"/>
      <c r="D561" s="125"/>
      <c r="E561" s="125"/>
      <c r="F561" s="125"/>
      <c r="G561" s="125"/>
      <c r="H561" s="125"/>
      <c r="I561" s="125"/>
      <c r="J561" s="125"/>
      <c r="K561" s="125"/>
      <c r="L561" s="125"/>
      <c r="M561" s="125"/>
      <c r="N561" s="125"/>
      <c r="O561" s="125"/>
      <c r="P561" s="125"/>
      <c r="Q561" s="125"/>
      <c r="R561" s="125"/>
    </row>
    <row r="562" spans="1:18" ht="15.75" customHeight="1">
      <c r="A562" s="125"/>
      <c r="B562" s="125"/>
      <c r="C562" s="125"/>
      <c r="D562" s="125"/>
      <c r="E562" s="125"/>
      <c r="F562" s="125"/>
      <c r="G562" s="125"/>
      <c r="H562" s="125"/>
      <c r="I562" s="125"/>
      <c r="J562" s="125"/>
      <c r="K562" s="125"/>
      <c r="L562" s="125"/>
      <c r="M562" s="125"/>
      <c r="N562" s="125"/>
      <c r="O562" s="125"/>
      <c r="P562" s="125"/>
      <c r="Q562" s="125"/>
      <c r="R562" s="125"/>
    </row>
    <row r="563" spans="1:18" ht="15.75" customHeight="1">
      <c r="A563" s="125"/>
      <c r="B563" s="125"/>
      <c r="C563" s="125"/>
      <c r="D563" s="125"/>
      <c r="E563" s="125"/>
      <c r="F563" s="125"/>
      <c r="G563" s="125"/>
      <c r="H563" s="125"/>
      <c r="I563" s="125"/>
      <c r="J563" s="125"/>
      <c r="K563" s="125"/>
      <c r="L563" s="125"/>
      <c r="M563" s="125"/>
      <c r="N563" s="125"/>
      <c r="O563" s="125"/>
      <c r="P563" s="125"/>
      <c r="Q563" s="125"/>
      <c r="R563" s="125"/>
    </row>
    <row r="564" spans="1:18" ht="15.75" customHeight="1">
      <c r="A564" s="125"/>
      <c r="B564" s="125"/>
      <c r="C564" s="125"/>
      <c r="D564" s="125"/>
      <c r="E564" s="125"/>
      <c r="F564" s="125"/>
      <c r="G564" s="125"/>
      <c r="H564" s="125"/>
      <c r="I564" s="125"/>
      <c r="J564" s="125"/>
      <c r="K564" s="125"/>
      <c r="L564" s="125"/>
      <c r="M564" s="125"/>
      <c r="N564" s="125"/>
      <c r="O564" s="125"/>
      <c r="P564" s="125"/>
      <c r="Q564" s="125"/>
      <c r="R564" s="125"/>
    </row>
    <row r="565" spans="1:18" ht="15.75" customHeight="1">
      <c r="A565" s="125"/>
      <c r="B565" s="125"/>
      <c r="C565" s="125"/>
      <c r="D565" s="125"/>
      <c r="E565" s="125"/>
      <c r="F565" s="125"/>
      <c r="G565" s="125"/>
      <c r="H565" s="125"/>
      <c r="I565" s="125"/>
      <c r="J565" s="125"/>
      <c r="K565" s="125"/>
      <c r="L565" s="125"/>
      <c r="M565" s="125"/>
      <c r="N565" s="125"/>
      <c r="O565" s="125"/>
      <c r="P565" s="125"/>
      <c r="Q565" s="125"/>
      <c r="R565" s="125"/>
    </row>
    <row r="566" spans="1:18" ht="15.75" customHeight="1">
      <c r="A566" s="125"/>
      <c r="B566" s="125"/>
      <c r="C566" s="125"/>
      <c r="D566" s="125"/>
      <c r="E566" s="125"/>
      <c r="F566" s="125"/>
      <c r="G566" s="125"/>
      <c r="H566" s="125"/>
      <c r="I566" s="125"/>
      <c r="J566" s="125"/>
      <c r="K566" s="125"/>
      <c r="L566" s="125"/>
      <c r="M566" s="125"/>
      <c r="N566" s="125"/>
      <c r="O566" s="125"/>
      <c r="P566" s="125"/>
      <c r="Q566" s="125"/>
      <c r="R566" s="125"/>
    </row>
    <row r="567" spans="1:18" ht="15.75" customHeight="1">
      <c r="A567" s="125"/>
      <c r="B567" s="125"/>
      <c r="C567" s="125"/>
      <c r="D567" s="125"/>
      <c r="E567" s="125"/>
      <c r="F567" s="125"/>
      <c r="G567" s="125"/>
      <c r="H567" s="125"/>
      <c r="I567" s="125"/>
      <c r="J567" s="125"/>
      <c r="K567" s="125"/>
      <c r="L567" s="125"/>
      <c r="M567" s="125"/>
      <c r="N567" s="125"/>
      <c r="O567" s="125"/>
      <c r="P567" s="125"/>
      <c r="Q567" s="125"/>
      <c r="R567" s="125"/>
    </row>
    <row r="568" spans="1:18" ht="15.75" customHeight="1">
      <c r="A568" s="125"/>
      <c r="B568" s="125"/>
      <c r="C568" s="125"/>
      <c r="D568" s="125"/>
      <c r="E568" s="125"/>
      <c r="F568" s="125"/>
      <c r="G568" s="125"/>
      <c r="H568" s="125"/>
      <c r="I568" s="125"/>
      <c r="J568" s="125"/>
      <c r="K568" s="125"/>
      <c r="L568" s="125"/>
      <c r="M568" s="125"/>
      <c r="N568" s="125"/>
      <c r="O568" s="125"/>
      <c r="P568" s="125"/>
      <c r="Q568" s="125"/>
      <c r="R568" s="125"/>
    </row>
    <row r="569" spans="1:18" ht="15.75" customHeight="1">
      <c r="A569" s="125"/>
      <c r="B569" s="125"/>
      <c r="C569" s="125"/>
      <c r="D569" s="125"/>
      <c r="E569" s="125"/>
      <c r="F569" s="125"/>
      <c r="G569" s="125"/>
      <c r="H569" s="125"/>
      <c r="I569" s="125"/>
      <c r="J569" s="125"/>
      <c r="K569" s="125"/>
      <c r="L569" s="125"/>
      <c r="M569" s="125"/>
      <c r="N569" s="125"/>
      <c r="O569" s="125"/>
      <c r="P569" s="125"/>
      <c r="Q569" s="125"/>
      <c r="R569" s="125"/>
    </row>
    <row r="570" spans="1:18" ht="15.75" customHeight="1">
      <c r="A570" s="125"/>
      <c r="B570" s="125"/>
      <c r="C570" s="125"/>
      <c r="D570" s="125"/>
      <c r="E570" s="125"/>
      <c r="F570" s="125"/>
      <c r="G570" s="125"/>
      <c r="H570" s="125"/>
      <c r="I570" s="125"/>
      <c r="J570" s="125"/>
      <c r="K570" s="125"/>
      <c r="L570" s="125"/>
      <c r="M570" s="125"/>
      <c r="N570" s="125"/>
      <c r="O570" s="125"/>
      <c r="P570" s="125"/>
      <c r="Q570" s="125"/>
      <c r="R570" s="125"/>
    </row>
    <row r="571" spans="1:18" ht="15.75" customHeight="1">
      <c r="A571" s="125"/>
      <c r="B571" s="125"/>
      <c r="C571" s="125"/>
      <c r="D571" s="125"/>
      <c r="E571" s="125"/>
      <c r="F571" s="125"/>
      <c r="G571" s="125"/>
      <c r="H571" s="125"/>
      <c r="I571" s="125"/>
      <c r="J571" s="125"/>
      <c r="K571" s="125"/>
      <c r="L571" s="125"/>
      <c r="M571" s="125"/>
      <c r="N571" s="125"/>
      <c r="O571" s="125"/>
      <c r="P571" s="125"/>
      <c r="Q571" s="125"/>
      <c r="R571" s="125"/>
    </row>
    <row r="572" spans="1:18" ht="15.75" customHeight="1">
      <c r="A572" s="125"/>
      <c r="B572" s="125"/>
      <c r="C572" s="125"/>
      <c r="D572" s="125"/>
      <c r="E572" s="125"/>
      <c r="F572" s="125"/>
      <c r="G572" s="125"/>
      <c r="H572" s="125"/>
      <c r="I572" s="125"/>
      <c r="J572" s="125"/>
      <c r="K572" s="125"/>
      <c r="L572" s="125"/>
      <c r="M572" s="125"/>
      <c r="N572" s="125"/>
      <c r="O572" s="125"/>
      <c r="P572" s="125"/>
      <c r="Q572" s="125"/>
      <c r="R572" s="125"/>
    </row>
    <row r="573" spans="1:18" ht="15.75" customHeight="1">
      <c r="A573" s="125"/>
      <c r="B573" s="125"/>
      <c r="C573" s="125"/>
      <c r="D573" s="125"/>
      <c r="E573" s="125"/>
      <c r="F573" s="125"/>
      <c r="G573" s="125"/>
      <c r="H573" s="125"/>
      <c r="I573" s="125"/>
      <c r="J573" s="125"/>
      <c r="K573" s="125"/>
      <c r="L573" s="125"/>
      <c r="M573" s="125"/>
      <c r="N573" s="125"/>
      <c r="O573" s="125"/>
      <c r="P573" s="125"/>
      <c r="Q573" s="125"/>
      <c r="R573" s="125"/>
    </row>
    <row r="574" spans="1:18" ht="15.75" customHeight="1">
      <c r="A574" s="125"/>
      <c r="B574" s="125"/>
      <c r="C574" s="4"/>
      <c r="D574" s="125"/>
      <c r="E574" s="125"/>
      <c r="F574" s="125"/>
      <c r="G574" s="125"/>
      <c r="H574" s="125"/>
      <c r="I574" s="125"/>
      <c r="J574" s="125"/>
      <c r="K574" s="125"/>
      <c r="L574" s="125"/>
      <c r="M574" s="125"/>
      <c r="N574" s="125"/>
      <c r="O574" s="125"/>
      <c r="P574" s="125"/>
      <c r="Q574" s="125"/>
      <c r="R574" s="125"/>
    </row>
    <row r="575" spans="1:18" ht="15.75" customHeight="1">
      <c r="A575" s="125"/>
      <c r="B575" s="125"/>
      <c r="C575" s="4"/>
      <c r="D575" s="168" t="s">
        <v>7</v>
      </c>
      <c r="E575" s="169" t="e">
        <f t="shared" ref="E575:E578" si="0">COUNTIF(#REF!,D575)</f>
        <v>#REF!</v>
      </c>
      <c r="F575" s="125"/>
      <c r="G575" s="125"/>
      <c r="H575" s="125"/>
      <c r="I575" s="125"/>
      <c r="J575" s="125"/>
      <c r="K575" s="125"/>
      <c r="L575" s="125"/>
      <c r="M575" s="125"/>
      <c r="N575" s="125"/>
      <c r="O575" s="125"/>
      <c r="P575" s="125"/>
      <c r="Q575" s="125"/>
      <c r="R575" s="125"/>
    </row>
    <row r="576" spans="1:18" ht="15.75" customHeight="1">
      <c r="A576" s="125"/>
      <c r="B576" s="125"/>
      <c r="C576" s="4"/>
      <c r="D576" s="168" t="s">
        <v>8</v>
      </c>
      <c r="E576" s="169" t="e">
        <f t="shared" si="0"/>
        <v>#REF!</v>
      </c>
      <c r="F576" s="125"/>
      <c r="G576" s="125"/>
      <c r="H576" s="125"/>
      <c r="I576" s="125"/>
      <c r="J576" s="125"/>
      <c r="K576" s="125"/>
      <c r="L576" s="125"/>
      <c r="M576" s="125"/>
      <c r="N576" s="125"/>
      <c r="O576" s="125"/>
      <c r="P576" s="125"/>
      <c r="Q576" s="125"/>
      <c r="R576" s="125"/>
    </row>
    <row r="577" spans="1:18" ht="15.75" customHeight="1">
      <c r="A577" s="125"/>
      <c r="B577" s="125"/>
      <c r="C577" s="4"/>
      <c r="D577" s="168" t="s">
        <v>9</v>
      </c>
      <c r="E577" s="169" t="e">
        <f t="shared" si="0"/>
        <v>#REF!</v>
      </c>
      <c r="F577" s="125"/>
      <c r="G577" s="125"/>
      <c r="H577" s="125"/>
      <c r="I577" s="125"/>
      <c r="J577" s="125"/>
      <c r="K577" s="125"/>
      <c r="L577" s="125"/>
      <c r="M577" s="125"/>
      <c r="N577" s="125"/>
      <c r="O577" s="125"/>
      <c r="P577" s="125"/>
      <c r="Q577" s="125"/>
      <c r="R577" s="125"/>
    </row>
    <row r="578" spans="1:18" ht="15.75" customHeight="1">
      <c r="A578" s="125"/>
      <c r="B578" s="125"/>
      <c r="C578" s="4"/>
      <c r="D578" s="168" t="s">
        <v>10</v>
      </c>
      <c r="E578" s="169" t="e">
        <f t="shared" si="0"/>
        <v>#REF!</v>
      </c>
      <c r="F578" s="125"/>
      <c r="G578" s="125"/>
      <c r="H578" s="125"/>
      <c r="I578" s="125"/>
      <c r="J578" s="125"/>
      <c r="K578" s="125"/>
      <c r="L578" s="125"/>
      <c r="M578" s="125"/>
      <c r="N578" s="125"/>
      <c r="O578" s="125"/>
      <c r="P578" s="125"/>
      <c r="Q578" s="125"/>
      <c r="R578" s="125"/>
    </row>
    <row r="579" spans="1:18" ht="15.75" customHeight="1">
      <c r="A579" s="125"/>
      <c r="B579" s="125"/>
      <c r="C579" s="4"/>
      <c r="D579" s="168" t="s">
        <v>6</v>
      </c>
      <c r="E579" s="169" t="e">
        <f>SUM(E575:E577)</f>
        <v>#REF!</v>
      </c>
      <c r="F579" s="125"/>
      <c r="G579" s="125"/>
      <c r="H579" s="125"/>
      <c r="I579" s="125"/>
      <c r="J579" s="125"/>
      <c r="K579" s="125"/>
      <c r="L579" s="125"/>
      <c r="M579" s="125"/>
      <c r="N579" s="125"/>
      <c r="O579" s="125"/>
      <c r="P579" s="125"/>
      <c r="Q579" s="125"/>
      <c r="R579" s="125"/>
    </row>
    <row r="580" spans="1:18" ht="15.75" customHeight="1">
      <c r="A580" s="125"/>
      <c r="B580" s="125"/>
      <c r="C580" s="4"/>
      <c r="D580" s="168" t="s">
        <v>39</v>
      </c>
      <c r="E580" s="169" t="e">
        <f>SUM(E575:E578)</f>
        <v>#REF!</v>
      </c>
      <c r="F580" s="125"/>
      <c r="G580" s="125"/>
      <c r="H580" s="125"/>
      <c r="I580" s="125"/>
      <c r="J580" s="125"/>
      <c r="K580" s="125"/>
      <c r="L580" s="125"/>
      <c r="M580" s="125"/>
      <c r="N580" s="125"/>
      <c r="O580" s="125"/>
      <c r="P580" s="125"/>
      <c r="Q580" s="125"/>
      <c r="R580" s="125"/>
    </row>
    <row r="581" spans="1:18" ht="15.75" customHeight="1">
      <c r="A581" s="125"/>
      <c r="B581" s="125"/>
      <c r="C581" s="125"/>
      <c r="D581" s="125"/>
      <c r="E581" s="125"/>
      <c r="F581" s="125"/>
      <c r="G581" s="125"/>
      <c r="H581" s="125"/>
      <c r="I581" s="125"/>
      <c r="J581" s="125"/>
      <c r="K581" s="125"/>
      <c r="L581" s="125"/>
      <c r="M581" s="125"/>
      <c r="N581" s="125"/>
      <c r="O581" s="125"/>
      <c r="P581" s="125"/>
      <c r="Q581" s="125"/>
      <c r="R581" s="125"/>
    </row>
    <row r="582" spans="1:18" ht="15.75" customHeight="1">
      <c r="A582" s="125"/>
      <c r="B582" s="125"/>
      <c r="C582" s="125"/>
      <c r="D582" s="125"/>
      <c r="E582" s="125"/>
      <c r="F582" s="125"/>
      <c r="G582" s="125"/>
      <c r="H582" s="125"/>
      <c r="I582" s="125"/>
      <c r="J582" s="125"/>
      <c r="K582" s="125"/>
      <c r="L582" s="125"/>
      <c r="M582" s="125"/>
      <c r="N582" s="125"/>
      <c r="O582" s="125"/>
      <c r="P582" s="125"/>
      <c r="Q582" s="125"/>
      <c r="R582" s="125"/>
    </row>
    <row r="583" spans="1:18" ht="15.75" customHeight="1">
      <c r="A583" s="125"/>
      <c r="B583" s="125"/>
      <c r="C583" s="125"/>
      <c r="D583" s="125"/>
      <c r="E583" s="125"/>
      <c r="F583" s="125"/>
      <c r="G583" s="125"/>
      <c r="H583" s="125"/>
      <c r="I583" s="125"/>
      <c r="J583" s="125"/>
      <c r="K583" s="125"/>
      <c r="L583" s="125"/>
      <c r="M583" s="125"/>
      <c r="N583" s="125"/>
      <c r="O583" s="125"/>
      <c r="P583" s="125"/>
      <c r="Q583" s="125"/>
      <c r="R583" s="125"/>
    </row>
    <row r="584" spans="1:18" ht="15.75" customHeight="1">
      <c r="A584" s="125"/>
      <c r="B584" s="125"/>
      <c r="C584" s="125"/>
      <c r="D584" s="125"/>
      <c r="E584" s="125"/>
      <c r="F584" s="125"/>
      <c r="G584" s="125"/>
      <c r="H584" s="125"/>
      <c r="I584" s="125"/>
      <c r="J584" s="125"/>
      <c r="K584" s="125"/>
      <c r="L584" s="125"/>
      <c r="M584" s="125"/>
      <c r="N584" s="125"/>
      <c r="O584" s="125"/>
      <c r="P584" s="125"/>
      <c r="Q584" s="125"/>
      <c r="R584" s="125"/>
    </row>
    <row r="585" spans="1:18" ht="15.75" customHeight="1">
      <c r="A585" s="125"/>
      <c r="B585" s="125"/>
      <c r="C585" s="125"/>
      <c r="D585" s="125"/>
      <c r="E585" s="125"/>
      <c r="F585" s="125"/>
      <c r="G585" s="125"/>
      <c r="H585" s="125"/>
      <c r="I585" s="125"/>
      <c r="J585" s="125"/>
      <c r="K585" s="125"/>
      <c r="L585" s="125"/>
      <c r="M585" s="125"/>
      <c r="N585" s="125"/>
      <c r="O585" s="125"/>
      <c r="P585" s="125"/>
      <c r="Q585" s="125"/>
      <c r="R585" s="125"/>
    </row>
    <row r="586" spans="1:18" ht="15.75" customHeight="1">
      <c r="A586" s="125"/>
      <c r="B586" s="125"/>
      <c r="C586" s="125"/>
      <c r="D586" s="125"/>
      <c r="E586" s="125"/>
      <c r="F586" s="125"/>
      <c r="G586" s="125"/>
      <c r="H586" s="125"/>
      <c r="I586" s="125"/>
      <c r="J586" s="125"/>
      <c r="K586" s="125"/>
      <c r="L586" s="125"/>
      <c r="M586" s="125"/>
      <c r="N586" s="125"/>
      <c r="O586" s="125"/>
      <c r="P586" s="125"/>
      <c r="Q586" s="125"/>
      <c r="R586" s="125"/>
    </row>
    <row r="587" spans="1:18" ht="15.75" customHeight="1">
      <c r="A587" s="125"/>
      <c r="B587" s="125"/>
      <c r="C587" s="125"/>
      <c r="D587" s="125"/>
      <c r="E587" s="125"/>
      <c r="F587" s="125"/>
      <c r="G587" s="125"/>
      <c r="H587" s="125"/>
      <c r="I587" s="125"/>
      <c r="J587" s="125"/>
      <c r="K587" s="125"/>
      <c r="L587" s="125"/>
      <c r="M587" s="125"/>
      <c r="N587" s="125"/>
      <c r="O587" s="125"/>
      <c r="P587" s="125"/>
      <c r="Q587" s="125"/>
      <c r="R587" s="125"/>
    </row>
    <row r="588" spans="1:18" ht="15.75" customHeight="1">
      <c r="A588" s="125"/>
      <c r="B588" s="125"/>
      <c r="C588" s="125"/>
      <c r="D588" s="125"/>
      <c r="E588" s="125"/>
      <c r="F588" s="125"/>
      <c r="G588" s="125"/>
      <c r="H588" s="125"/>
      <c r="I588" s="125"/>
      <c r="J588" s="125"/>
      <c r="K588" s="125"/>
      <c r="L588" s="125"/>
      <c r="M588" s="125"/>
      <c r="N588" s="125"/>
      <c r="O588" s="125"/>
      <c r="P588" s="125"/>
      <c r="Q588" s="125"/>
      <c r="R588" s="125"/>
    </row>
    <row r="589" spans="1:18" ht="15.75" customHeight="1">
      <c r="A589" s="125"/>
      <c r="B589" s="125"/>
      <c r="C589" s="125"/>
      <c r="D589" s="125"/>
      <c r="E589" s="125"/>
      <c r="F589" s="125"/>
      <c r="G589" s="125"/>
      <c r="H589" s="125"/>
      <c r="I589" s="125"/>
      <c r="J589" s="125"/>
      <c r="K589" s="125"/>
      <c r="L589" s="125"/>
      <c r="M589" s="125"/>
      <c r="N589" s="125"/>
      <c r="O589" s="125"/>
      <c r="P589" s="125"/>
      <c r="Q589" s="125"/>
      <c r="R589" s="125"/>
    </row>
    <row r="590" spans="1:18" ht="15.75" customHeight="1">
      <c r="A590" s="125"/>
      <c r="B590" s="125"/>
      <c r="C590" s="125"/>
      <c r="D590" s="125"/>
      <c r="E590" s="125"/>
      <c r="F590" s="125"/>
      <c r="G590" s="125"/>
      <c r="H590" s="125"/>
      <c r="I590" s="125"/>
      <c r="J590" s="125"/>
      <c r="K590" s="125"/>
      <c r="L590" s="125"/>
      <c r="M590" s="125"/>
      <c r="N590" s="125"/>
      <c r="O590" s="125"/>
      <c r="P590" s="125"/>
      <c r="Q590" s="125"/>
      <c r="R590" s="125"/>
    </row>
    <row r="591" spans="1:18" ht="15.75" customHeight="1">
      <c r="A591" s="125"/>
      <c r="B591" s="125"/>
      <c r="C591" s="125"/>
      <c r="D591" s="125"/>
      <c r="E591" s="125"/>
      <c r="F591" s="125"/>
      <c r="G591" s="125"/>
      <c r="H591" s="125"/>
      <c r="I591" s="125"/>
      <c r="J591" s="125"/>
      <c r="K591" s="125"/>
      <c r="L591" s="125"/>
      <c r="M591" s="125"/>
      <c r="N591" s="125"/>
      <c r="O591" s="125"/>
      <c r="P591" s="125"/>
      <c r="Q591" s="125"/>
      <c r="R591" s="125"/>
    </row>
    <row r="592" spans="1:18" ht="15.75" customHeight="1">
      <c r="A592" s="125"/>
      <c r="B592" s="125"/>
      <c r="C592" s="125"/>
      <c r="D592" s="125"/>
      <c r="E592" s="125"/>
      <c r="F592" s="125"/>
      <c r="G592" s="125"/>
      <c r="H592" s="125"/>
      <c r="I592" s="125"/>
      <c r="J592" s="125"/>
      <c r="K592" s="125"/>
      <c r="L592" s="125"/>
      <c r="M592" s="125"/>
      <c r="N592" s="125"/>
      <c r="O592" s="125"/>
      <c r="P592" s="125"/>
      <c r="Q592" s="125"/>
      <c r="R592" s="125"/>
    </row>
    <row r="593" spans="1:18" ht="15.75" customHeight="1">
      <c r="A593" s="125"/>
      <c r="B593" s="125"/>
      <c r="C593" s="125"/>
      <c r="D593" s="125"/>
      <c r="E593" s="125"/>
      <c r="F593" s="125"/>
      <c r="G593" s="125"/>
      <c r="H593" s="125"/>
      <c r="I593" s="125"/>
      <c r="J593" s="125"/>
      <c r="K593" s="125"/>
      <c r="L593" s="125"/>
      <c r="M593" s="125"/>
      <c r="N593" s="125"/>
      <c r="O593" s="125"/>
      <c r="P593" s="125"/>
      <c r="Q593" s="125"/>
      <c r="R593" s="125"/>
    </row>
    <row r="594" spans="1:18" ht="15.75" customHeight="1">
      <c r="A594" s="125"/>
      <c r="B594" s="125"/>
      <c r="C594" s="125"/>
      <c r="D594" s="125"/>
      <c r="E594" s="125"/>
      <c r="F594" s="125"/>
      <c r="G594" s="125"/>
      <c r="H594" s="125"/>
      <c r="I594" s="125"/>
      <c r="J594" s="125"/>
      <c r="K594" s="125"/>
      <c r="L594" s="125"/>
      <c r="M594" s="125"/>
      <c r="N594" s="125"/>
      <c r="O594" s="125"/>
      <c r="P594" s="125"/>
      <c r="Q594" s="125"/>
      <c r="R594" s="125"/>
    </row>
    <row r="595" spans="1:18" ht="15.75" customHeight="1">
      <c r="A595" s="125"/>
      <c r="B595" s="125"/>
      <c r="C595" s="125"/>
      <c r="D595" s="125"/>
      <c r="E595" s="125"/>
      <c r="F595" s="125"/>
      <c r="G595" s="125"/>
      <c r="H595" s="125"/>
      <c r="I595" s="125"/>
      <c r="J595" s="125"/>
      <c r="K595" s="125"/>
      <c r="L595" s="125"/>
      <c r="M595" s="125"/>
      <c r="N595" s="125"/>
      <c r="O595" s="125"/>
      <c r="P595" s="125"/>
      <c r="Q595" s="125"/>
      <c r="R595" s="125"/>
    </row>
    <row r="596" spans="1:18" ht="15.75" customHeight="1">
      <c r="A596" s="125"/>
      <c r="B596" s="125"/>
      <c r="C596" s="125"/>
      <c r="D596" s="125"/>
      <c r="E596" s="125"/>
      <c r="F596" s="125"/>
      <c r="G596" s="125"/>
      <c r="H596" s="125"/>
      <c r="I596" s="125"/>
      <c r="J596" s="125"/>
      <c r="K596" s="125"/>
      <c r="L596" s="125"/>
      <c r="M596" s="125"/>
      <c r="N596" s="125"/>
      <c r="O596" s="125"/>
      <c r="P596" s="125"/>
      <c r="Q596" s="125"/>
      <c r="R596" s="125"/>
    </row>
    <row r="597" spans="1:18" ht="15.75" customHeight="1">
      <c r="A597" s="125"/>
      <c r="B597" s="125"/>
      <c r="C597" s="125"/>
      <c r="D597" s="125"/>
      <c r="E597" s="125"/>
      <c r="F597" s="125"/>
      <c r="G597" s="125"/>
      <c r="H597" s="125"/>
      <c r="I597" s="125"/>
      <c r="J597" s="125"/>
      <c r="K597" s="125"/>
      <c r="L597" s="125"/>
      <c r="M597" s="125"/>
      <c r="N597" s="125"/>
      <c r="O597" s="125"/>
      <c r="P597" s="125"/>
      <c r="Q597" s="125"/>
      <c r="R597" s="125"/>
    </row>
    <row r="598" spans="1:18" ht="15.75" customHeight="1">
      <c r="A598" s="125"/>
      <c r="B598" s="125"/>
      <c r="C598" s="125"/>
      <c r="D598" s="125"/>
      <c r="E598" s="125"/>
      <c r="F598" s="125"/>
      <c r="G598" s="125"/>
      <c r="H598" s="125"/>
      <c r="I598" s="125"/>
      <c r="J598" s="125"/>
      <c r="K598" s="125"/>
      <c r="L598" s="125"/>
      <c r="M598" s="125"/>
      <c r="N598" s="125"/>
      <c r="O598" s="125"/>
      <c r="P598" s="125"/>
      <c r="Q598" s="125"/>
      <c r="R598" s="125"/>
    </row>
    <row r="599" spans="1:18" ht="15.75" customHeight="1">
      <c r="A599" s="125"/>
      <c r="B599" s="125"/>
      <c r="C599" s="125"/>
      <c r="D599" s="125"/>
      <c r="E599" s="125"/>
      <c r="F599" s="125"/>
      <c r="G599" s="125"/>
      <c r="H599" s="125"/>
      <c r="I599" s="125"/>
      <c r="J599" s="125"/>
      <c r="K599" s="125"/>
      <c r="L599" s="125"/>
      <c r="M599" s="125"/>
      <c r="N599" s="125"/>
      <c r="O599" s="125"/>
      <c r="P599" s="125"/>
      <c r="Q599" s="125"/>
      <c r="R599" s="125"/>
    </row>
    <row r="600" spans="1:18" ht="15.75" customHeight="1">
      <c r="A600" s="125"/>
      <c r="B600" s="125"/>
      <c r="C600" s="125"/>
      <c r="D600" s="125"/>
      <c r="E600" s="125"/>
      <c r="F600" s="125"/>
      <c r="G600" s="125"/>
      <c r="H600" s="125"/>
      <c r="I600" s="125"/>
      <c r="J600" s="125"/>
      <c r="K600" s="125"/>
      <c r="L600" s="125"/>
      <c r="M600" s="125"/>
      <c r="N600" s="125"/>
      <c r="O600" s="125"/>
      <c r="P600" s="125"/>
      <c r="Q600" s="125"/>
      <c r="R600" s="125"/>
    </row>
    <row r="601" spans="1:18" ht="15.75" customHeight="1">
      <c r="A601" s="125"/>
      <c r="B601" s="125"/>
      <c r="C601" s="125"/>
      <c r="D601" s="125"/>
      <c r="E601" s="125"/>
      <c r="F601" s="125"/>
      <c r="G601" s="125"/>
      <c r="H601" s="125"/>
      <c r="I601" s="125"/>
      <c r="J601" s="125"/>
      <c r="K601" s="125"/>
      <c r="L601" s="125"/>
      <c r="M601" s="125"/>
      <c r="N601" s="125"/>
      <c r="O601" s="125"/>
      <c r="P601" s="125"/>
      <c r="Q601" s="125"/>
      <c r="R601" s="125"/>
    </row>
    <row r="602" spans="1:18" ht="15.75" customHeight="1">
      <c r="A602" s="125"/>
      <c r="B602" s="125"/>
      <c r="C602" s="125"/>
      <c r="D602" s="125"/>
      <c r="E602" s="125"/>
      <c r="F602" s="125"/>
      <c r="G602" s="125"/>
      <c r="H602" s="125"/>
      <c r="I602" s="125"/>
      <c r="J602" s="125"/>
      <c r="K602" s="125"/>
      <c r="L602" s="125"/>
      <c r="M602" s="125"/>
      <c r="N602" s="125"/>
      <c r="O602" s="125"/>
      <c r="P602" s="125"/>
      <c r="Q602" s="125"/>
      <c r="R602" s="125"/>
    </row>
    <row r="603" spans="1:18" ht="15.75" customHeight="1">
      <c r="A603" s="125"/>
      <c r="B603" s="125"/>
      <c r="C603" s="125"/>
      <c r="D603" s="125"/>
      <c r="E603" s="125"/>
      <c r="F603" s="125"/>
      <c r="G603" s="125"/>
      <c r="H603" s="125"/>
      <c r="I603" s="125"/>
      <c r="J603" s="125"/>
      <c r="K603" s="125"/>
      <c r="L603" s="125"/>
      <c r="M603" s="125"/>
      <c r="N603" s="125"/>
      <c r="O603" s="125"/>
      <c r="P603" s="125"/>
      <c r="Q603" s="125"/>
      <c r="R603" s="125"/>
    </row>
    <row r="604" spans="1:18" ht="15.75" customHeight="1">
      <c r="A604" s="125"/>
      <c r="B604" s="125"/>
      <c r="C604" s="125"/>
      <c r="D604" s="125"/>
      <c r="E604" s="125"/>
      <c r="F604" s="125"/>
      <c r="G604" s="125"/>
      <c r="H604" s="125"/>
      <c r="I604" s="125"/>
      <c r="J604" s="125"/>
      <c r="K604" s="125"/>
      <c r="L604" s="125"/>
      <c r="M604" s="125"/>
      <c r="N604" s="125"/>
      <c r="O604" s="125"/>
      <c r="P604" s="125"/>
      <c r="Q604" s="125"/>
      <c r="R604" s="125"/>
    </row>
    <row r="605" spans="1:18" ht="15.75" customHeight="1">
      <c r="A605" s="125"/>
      <c r="B605" s="125"/>
      <c r="C605" s="125"/>
      <c r="D605" s="125"/>
      <c r="E605" s="125"/>
      <c r="F605" s="125"/>
      <c r="G605" s="125"/>
      <c r="H605" s="125"/>
      <c r="I605" s="125"/>
      <c r="J605" s="125"/>
      <c r="K605" s="125"/>
      <c r="L605" s="125"/>
      <c r="M605" s="125"/>
      <c r="N605" s="125"/>
      <c r="O605" s="125"/>
      <c r="P605" s="125"/>
      <c r="Q605" s="125"/>
      <c r="R605" s="125"/>
    </row>
    <row r="606" spans="1:18" ht="15.75" customHeight="1">
      <c r="A606" s="125"/>
      <c r="B606" s="125"/>
      <c r="C606" s="125"/>
      <c r="D606" s="125"/>
      <c r="E606" s="125"/>
      <c r="F606" s="125"/>
      <c r="G606" s="125"/>
      <c r="H606" s="125"/>
      <c r="I606" s="125"/>
      <c r="J606" s="125"/>
      <c r="K606" s="125"/>
      <c r="L606" s="125"/>
      <c r="M606" s="125"/>
      <c r="N606" s="125"/>
      <c r="O606" s="125"/>
      <c r="P606" s="125"/>
      <c r="Q606" s="125"/>
      <c r="R606" s="125"/>
    </row>
    <row r="607" spans="1:18" ht="15.75" customHeight="1">
      <c r="A607" s="125"/>
      <c r="B607" s="125"/>
      <c r="C607" s="125"/>
      <c r="D607" s="125"/>
      <c r="E607" s="125"/>
      <c r="F607" s="125"/>
      <c r="G607" s="125"/>
      <c r="H607" s="125"/>
      <c r="I607" s="125"/>
      <c r="J607" s="125"/>
      <c r="K607" s="125"/>
      <c r="L607" s="125"/>
      <c r="M607" s="125"/>
      <c r="N607" s="125"/>
      <c r="O607" s="125"/>
      <c r="P607" s="125"/>
      <c r="Q607" s="125"/>
      <c r="R607" s="125"/>
    </row>
    <row r="608" spans="1:18" ht="15.75" customHeight="1">
      <c r="A608" s="125"/>
      <c r="B608" s="125"/>
      <c r="C608" s="125"/>
      <c r="D608" s="125"/>
      <c r="E608" s="125"/>
      <c r="F608" s="125"/>
      <c r="G608" s="125"/>
      <c r="H608" s="125"/>
      <c r="I608" s="125"/>
      <c r="J608" s="125"/>
      <c r="K608" s="125"/>
      <c r="L608" s="125"/>
      <c r="M608" s="125"/>
      <c r="N608" s="125"/>
      <c r="O608" s="125"/>
      <c r="P608" s="125"/>
      <c r="Q608" s="125"/>
      <c r="R608" s="125"/>
    </row>
    <row r="609" spans="1:18" ht="15.75" customHeight="1">
      <c r="A609" s="125"/>
      <c r="B609" s="125"/>
      <c r="C609" s="125"/>
      <c r="D609" s="125"/>
      <c r="E609" s="125"/>
      <c r="F609" s="125"/>
      <c r="G609" s="125"/>
      <c r="H609" s="125"/>
      <c r="I609" s="125"/>
      <c r="J609" s="125"/>
      <c r="K609" s="125"/>
      <c r="L609" s="125"/>
      <c r="M609" s="125"/>
      <c r="N609" s="125"/>
      <c r="O609" s="125"/>
      <c r="P609" s="125"/>
      <c r="Q609" s="125"/>
      <c r="R609" s="125"/>
    </row>
    <row r="610" spans="1:18" ht="15.75" customHeight="1">
      <c r="A610" s="125"/>
      <c r="B610" s="125"/>
      <c r="C610" s="125"/>
      <c r="D610" s="125"/>
      <c r="E610" s="125"/>
      <c r="F610" s="125"/>
      <c r="G610" s="125"/>
      <c r="H610" s="125"/>
      <c r="I610" s="125"/>
      <c r="J610" s="125"/>
      <c r="K610" s="125"/>
      <c r="L610" s="125"/>
      <c r="M610" s="125"/>
      <c r="N610" s="125"/>
      <c r="O610" s="125"/>
      <c r="P610" s="125"/>
      <c r="Q610" s="125"/>
      <c r="R610" s="125"/>
    </row>
    <row r="611" spans="1:18" ht="15.75" customHeight="1">
      <c r="A611" s="125"/>
      <c r="B611" s="125"/>
      <c r="C611" s="125"/>
      <c r="D611" s="125"/>
      <c r="E611" s="125"/>
      <c r="F611" s="125"/>
      <c r="G611" s="125"/>
      <c r="H611" s="125"/>
      <c r="I611" s="125"/>
      <c r="J611" s="125"/>
      <c r="K611" s="125"/>
      <c r="L611" s="125"/>
      <c r="M611" s="125"/>
      <c r="N611" s="125"/>
      <c r="O611" s="125"/>
      <c r="P611" s="125"/>
      <c r="Q611" s="125"/>
      <c r="R611" s="125"/>
    </row>
    <row r="612" spans="1:18" ht="15.75" customHeight="1">
      <c r="A612" s="125"/>
      <c r="B612" s="125"/>
      <c r="C612" s="125"/>
      <c r="D612" s="125"/>
      <c r="E612" s="125"/>
      <c r="F612" s="125"/>
      <c r="G612" s="125"/>
      <c r="H612" s="125"/>
      <c r="I612" s="125"/>
      <c r="J612" s="125"/>
      <c r="K612" s="125"/>
      <c r="L612" s="125"/>
      <c r="M612" s="125"/>
      <c r="N612" s="125"/>
      <c r="O612" s="125"/>
      <c r="P612" s="125"/>
      <c r="Q612" s="125"/>
      <c r="R612" s="125"/>
    </row>
    <row r="613" spans="1:18" ht="15.75" customHeight="1">
      <c r="A613" s="125"/>
      <c r="B613" s="125"/>
      <c r="C613" s="125"/>
      <c r="D613" s="125"/>
      <c r="E613" s="125"/>
      <c r="F613" s="125"/>
      <c r="G613" s="125"/>
      <c r="H613" s="125"/>
      <c r="I613" s="125"/>
      <c r="J613" s="125"/>
      <c r="K613" s="125"/>
      <c r="L613" s="125"/>
      <c r="M613" s="125"/>
      <c r="N613" s="125"/>
      <c r="O613" s="125"/>
      <c r="P613" s="125"/>
      <c r="Q613" s="125"/>
      <c r="R613" s="125"/>
    </row>
    <row r="614" spans="1:18" ht="15.75" customHeight="1">
      <c r="A614" s="125"/>
      <c r="B614" s="125"/>
      <c r="C614" s="125"/>
      <c r="D614" s="125"/>
      <c r="E614" s="125"/>
      <c r="F614" s="125"/>
      <c r="G614" s="125"/>
      <c r="H614" s="125"/>
      <c r="I614" s="125"/>
      <c r="J614" s="125"/>
      <c r="K614" s="125"/>
      <c r="L614" s="125"/>
      <c r="M614" s="125"/>
      <c r="N614" s="125"/>
      <c r="O614" s="125"/>
      <c r="P614" s="125"/>
      <c r="Q614" s="125"/>
      <c r="R614" s="125"/>
    </row>
    <row r="615" spans="1:18" ht="15.75" customHeight="1">
      <c r="A615" s="125"/>
      <c r="B615" s="125"/>
      <c r="C615" s="125"/>
      <c r="D615" s="125"/>
      <c r="E615" s="125"/>
      <c r="F615" s="125"/>
      <c r="G615" s="125"/>
      <c r="H615" s="125"/>
      <c r="I615" s="125"/>
      <c r="J615" s="125"/>
      <c r="K615" s="125"/>
      <c r="L615" s="125"/>
      <c r="M615" s="125"/>
      <c r="N615" s="125"/>
      <c r="O615" s="125"/>
      <c r="P615" s="125"/>
      <c r="Q615" s="125"/>
      <c r="R615" s="125"/>
    </row>
    <row r="616" spans="1:18" ht="15.75" customHeight="1">
      <c r="A616" s="125"/>
      <c r="B616" s="125"/>
      <c r="C616" s="125"/>
      <c r="D616" s="125"/>
      <c r="E616" s="125"/>
      <c r="F616" s="125"/>
      <c r="G616" s="125"/>
      <c r="H616" s="125"/>
      <c r="I616" s="125"/>
      <c r="J616" s="125"/>
      <c r="K616" s="125"/>
      <c r="L616" s="125"/>
      <c r="M616" s="125"/>
      <c r="N616" s="125"/>
      <c r="O616" s="125"/>
      <c r="P616" s="125"/>
      <c r="Q616" s="125"/>
      <c r="R616" s="125"/>
    </row>
    <row r="617" spans="1:18" ht="15.75" customHeight="1">
      <c r="A617" s="125"/>
      <c r="B617" s="125"/>
      <c r="C617" s="125"/>
      <c r="D617" s="125"/>
      <c r="E617" s="125"/>
      <c r="F617" s="125"/>
      <c r="G617" s="125"/>
      <c r="H617" s="125"/>
      <c r="I617" s="125"/>
      <c r="J617" s="125"/>
      <c r="K617" s="125"/>
      <c r="L617" s="125"/>
      <c r="M617" s="125"/>
      <c r="N617" s="125"/>
      <c r="O617" s="125"/>
      <c r="P617" s="125"/>
      <c r="Q617" s="125"/>
      <c r="R617" s="125"/>
    </row>
    <row r="618" spans="1:18" ht="15.75" customHeight="1">
      <c r="A618" s="125"/>
      <c r="B618" s="125"/>
      <c r="C618" s="125"/>
      <c r="D618" s="125"/>
      <c r="E618" s="125"/>
      <c r="F618" s="125"/>
      <c r="G618" s="125"/>
      <c r="H618" s="125"/>
      <c r="I618" s="125"/>
      <c r="J618" s="125"/>
      <c r="K618" s="125"/>
      <c r="L618" s="125"/>
      <c r="M618" s="125"/>
      <c r="N618" s="125"/>
      <c r="O618" s="125"/>
      <c r="P618" s="125"/>
      <c r="Q618" s="125"/>
      <c r="R618" s="125"/>
    </row>
    <row r="619" spans="1:18" ht="15.75" customHeight="1">
      <c r="A619" s="125"/>
      <c r="B619" s="125"/>
      <c r="C619" s="125"/>
      <c r="D619" s="125"/>
      <c r="E619" s="125"/>
      <c r="F619" s="125"/>
      <c r="G619" s="125"/>
      <c r="H619" s="125"/>
      <c r="I619" s="125"/>
      <c r="J619" s="125"/>
      <c r="K619" s="125"/>
      <c r="L619" s="125"/>
      <c r="M619" s="125"/>
      <c r="N619" s="125"/>
      <c r="O619" s="125"/>
      <c r="P619" s="125"/>
      <c r="Q619" s="125"/>
      <c r="R619" s="125"/>
    </row>
    <row r="620" spans="1:18" ht="15.75" customHeight="1">
      <c r="A620" s="125"/>
      <c r="B620" s="125"/>
      <c r="C620" s="125"/>
      <c r="D620" s="125"/>
      <c r="E620" s="125"/>
      <c r="F620" s="125"/>
      <c r="G620" s="125"/>
      <c r="H620" s="125"/>
      <c r="I620" s="125"/>
      <c r="J620" s="125"/>
      <c r="K620" s="125"/>
      <c r="L620" s="125"/>
      <c r="M620" s="125"/>
      <c r="N620" s="125"/>
      <c r="O620" s="125"/>
      <c r="P620" s="125"/>
      <c r="Q620" s="125"/>
      <c r="R620" s="125"/>
    </row>
    <row r="621" spans="1:18" ht="15.75" customHeight="1">
      <c r="A621" s="125"/>
      <c r="B621" s="125"/>
      <c r="C621" s="125"/>
      <c r="D621" s="125"/>
      <c r="E621" s="125"/>
      <c r="F621" s="125"/>
      <c r="G621" s="125"/>
      <c r="H621" s="125"/>
      <c r="I621" s="125"/>
      <c r="J621" s="125"/>
      <c r="K621" s="125"/>
      <c r="L621" s="125"/>
      <c r="M621" s="125"/>
      <c r="N621" s="125"/>
      <c r="O621" s="125"/>
      <c r="P621" s="125"/>
      <c r="Q621" s="125"/>
      <c r="R621" s="125"/>
    </row>
    <row r="622" spans="1:18" ht="15.75" customHeight="1">
      <c r="A622" s="125"/>
      <c r="B622" s="125"/>
      <c r="C622" s="125"/>
      <c r="D622" s="125"/>
      <c r="E622" s="125"/>
      <c r="F622" s="125"/>
      <c r="G622" s="125"/>
      <c r="H622" s="125"/>
      <c r="I622" s="125"/>
      <c r="J622" s="125"/>
      <c r="K622" s="125"/>
      <c r="L622" s="125"/>
      <c r="M622" s="125"/>
      <c r="N622" s="125"/>
      <c r="O622" s="125"/>
      <c r="P622" s="125"/>
      <c r="Q622" s="125"/>
      <c r="R622" s="125"/>
    </row>
    <row r="623" spans="1:18" ht="15.75" customHeight="1">
      <c r="A623" s="125"/>
      <c r="B623" s="125"/>
      <c r="C623" s="125"/>
      <c r="D623" s="125"/>
      <c r="E623" s="125"/>
      <c r="F623" s="125"/>
      <c r="G623" s="125"/>
      <c r="H623" s="125"/>
      <c r="I623" s="125"/>
      <c r="J623" s="125"/>
      <c r="K623" s="125"/>
      <c r="L623" s="125"/>
      <c r="M623" s="125"/>
      <c r="N623" s="125"/>
      <c r="O623" s="125"/>
      <c r="P623" s="125"/>
      <c r="Q623" s="125"/>
      <c r="R623" s="125"/>
    </row>
    <row r="624" spans="1:18" ht="15.75" customHeight="1">
      <c r="A624" s="125"/>
      <c r="B624" s="125"/>
      <c r="C624" s="125"/>
      <c r="D624" s="125"/>
      <c r="E624" s="125"/>
      <c r="F624" s="125"/>
      <c r="G624" s="125"/>
      <c r="H624" s="125"/>
      <c r="I624" s="125"/>
      <c r="J624" s="125"/>
      <c r="K624" s="125"/>
      <c r="L624" s="125"/>
      <c r="M624" s="125"/>
      <c r="N624" s="125"/>
      <c r="O624" s="125"/>
      <c r="P624" s="125"/>
      <c r="Q624" s="125"/>
      <c r="R624" s="125"/>
    </row>
    <row r="625" spans="1:18" ht="15.75" customHeight="1">
      <c r="A625" s="125"/>
      <c r="B625" s="125"/>
      <c r="C625" s="125"/>
      <c r="D625" s="125"/>
      <c r="E625" s="125"/>
      <c r="F625" s="125"/>
      <c r="G625" s="125"/>
      <c r="H625" s="125"/>
      <c r="I625" s="125"/>
      <c r="J625" s="125"/>
      <c r="K625" s="125"/>
      <c r="L625" s="125"/>
      <c r="M625" s="125"/>
      <c r="N625" s="125"/>
      <c r="O625" s="125"/>
      <c r="P625" s="125"/>
      <c r="Q625" s="125"/>
      <c r="R625" s="125"/>
    </row>
    <row r="626" spans="1:18" ht="15.75" customHeight="1">
      <c r="A626" s="125"/>
      <c r="B626" s="125"/>
      <c r="C626" s="125"/>
      <c r="D626" s="125"/>
      <c r="E626" s="125"/>
      <c r="F626" s="125"/>
      <c r="G626" s="125"/>
      <c r="H626" s="125"/>
      <c r="I626" s="125"/>
      <c r="J626" s="125"/>
      <c r="K626" s="125"/>
      <c r="L626" s="125"/>
      <c r="M626" s="125"/>
      <c r="N626" s="125"/>
      <c r="O626" s="125"/>
      <c r="P626" s="125"/>
      <c r="Q626" s="125"/>
      <c r="R626" s="125"/>
    </row>
    <row r="627" spans="1:18" ht="15.75" customHeight="1">
      <c r="A627" s="125"/>
      <c r="B627" s="125"/>
      <c r="C627" s="125"/>
      <c r="D627" s="125"/>
      <c r="E627" s="125"/>
      <c r="F627" s="125"/>
      <c r="G627" s="125"/>
      <c r="H627" s="125"/>
      <c r="I627" s="125"/>
      <c r="J627" s="125"/>
      <c r="K627" s="125"/>
      <c r="L627" s="125"/>
      <c r="M627" s="125"/>
      <c r="N627" s="125"/>
      <c r="O627" s="125"/>
      <c r="P627" s="125"/>
      <c r="Q627" s="125"/>
      <c r="R627" s="125"/>
    </row>
    <row r="628" spans="1:18" ht="15.75" customHeight="1">
      <c r="A628" s="125"/>
      <c r="B628" s="125"/>
      <c r="C628" s="125"/>
      <c r="D628" s="125"/>
      <c r="E628" s="125"/>
      <c r="F628" s="125"/>
      <c r="G628" s="125"/>
      <c r="H628" s="125"/>
      <c r="I628" s="125"/>
      <c r="J628" s="125"/>
      <c r="K628" s="125"/>
      <c r="L628" s="125"/>
      <c r="M628" s="125"/>
      <c r="N628" s="125"/>
      <c r="O628" s="125"/>
      <c r="P628" s="125"/>
      <c r="Q628" s="125"/>
      <c r="R628" s="125"/>
    </row>
    <row r="629" spans="1:18" ht="15.75" customHeight="1">
      <c r="A629" s="125"/>
      <c r="B629" s="125"/>
      <c r="C629" s="125"/>
      <c r="D629" s="125"/>
      <c r="E629" s="125"/>
      <c r="F629" s="125"/>
      <c r="G629" s="125"/>
      <c r="H629" s="125"/>
      <c r="I629" s="125"/>
      <c r="J629" s="125"/>
      <c r="K629" s="125"/>
      <c r="L629" s="125"/>
      <c r="M629" s="125"/>
      <c r="N629" s="125"/>
      <c r="O629" s="125"/>
      <c r="P629" s="125"/>
      <c r="Q629" s="125"/>
      <c r="R629" s="125"/>
    </row>
    <row r="630" spans="1:18" ht="15.75" customHeight="1">
      <c r="A630" s="125"/>
      <c r="B630" s="125"/>
      <c r="C630" s="125"/>
      <c r="D630" s="125"/>
      <c r="E630" s="125"/>
      <c r="F630" s="125"/>
      <c r="G630" s="125"/>
      <c r="H630" s="125"/>
      <c r="I630" s="125"/>
      <c r="J630" s="125"/>
      <c r="K630" s="125"/>
      <c r="L630" s="125"/>
      <c r="M630" s="125"/>
      <c r="N630" s="125"/>
      <c r="O630" s="125"/>
      <c r="P630" s="125"/>
      <c r="Q630" s="125"/>
      <c r="R630" s="125"/>
    </row>
    <row r="631" spans="1:18" ht="15.75" customHeight="1">
      <c r="A631" s="125"/>
      <c r="B631" s="125"/>
      <c r="C631" s="125"/>
      <c r="D631" s="125"/>
      <c r="E631" s="125"/>
      <c r="F631" s="125"/>
      <c r="G631" s="125"/>
      <c r="H631" s="125"/>
      <c r="I631" s="125"/>
      <c r="J631" s="125"/>
      <c r="K631" s="125"/>
      <c r="L631" s="125"/>
      <c r="M631" s="125"/>
      <c r="N631" s="125"/>
      <c r="O631" s="125"/>
      <c r="P631" s="125"/>
      <c r="Q631" s="125"/>
      <c r="R631" s="125"/>
    </row>
    <row r="632" spans="1:18" ht="15.75" customHeight="1">
      <c r="A632" s="125"/>
      <c r="B632" s="125"/>
      <c r="C632" s="125"/>
      <c r="D632" s="125"/>
      <c r="E632" s="125"/>
      <c r="F632" s="125"/>
      <c r="G632" s="125"/>
      <c r="H632" s="125"/>
      <c r="I632" s="125"/>
      <c r="J632" s="125"/>
      <c r="K632" s="125"/>
      <c r="L632" s="125"/>
      <c r="M632" s="125"/>
      <c r="N632" s="125"/>
      <c r="O632" s="125"/>
      <c r="P632" s="125"/>
      <c r="Q632" s="125"/>
      <c r="R632" s="125"/>
    </row>
    <row r="633" spans="1:18" ht="15.75" customHeight="1">
      <c r="A633" s="125"/>
      <c r="B633" s="125"/>
      <c r="C633" s="125"/>
      <c r="D633" s="125"/>
      <c r="E633" s="125"/>
      <c r="F633" s="125"/>
      <c r="G633" s="125"/>
      <c r="H633" s="125"/>
      <c r="I633" s="125"/>
      <c r="J633" s="125"/>
      <c r="K633" s="125"/>
      <c r="L633" s="125"/>
      <c r="M633" s="125"/>
      <c r="N633" s="125"/>
      <c r="O633" s="125"/>
      <c r="P633" s="125"/>
      <c r="Q633" s="125"/>
      <c r="R633" s="125"/>
    </row>
    <row r="634" spans="1:18" ht="15.75" customHeight="1">
      <c r="A634" s="125"/>
      <c r="B634" s="125"/>
      <c r="C634" s="125"/>
      <c r="D634" s="125"/>
      <c r="E634" s="125"/>
      <c r="F634" s="125"/>
      <c r="G634" s="125"/>
      <c r="H634" s="125"/>
      <c r="I634" s="125"/>
      <c r="J634" s="125"/>
      <c r="K634" s="125"/>
      <c r="L634" s="125"/>
      <c r="M634" s="125"/>
      <c r="N634" s="125"/>
      <c r="O634" s="125"/>
      <c r="P634" s="125"/>
      <c r="Q634" s="125"/>
      <c r="R634" s="125"/>
    </row>
    <row r="635" spans="1:18" ht="15.75" customHeight="1">
      <c r="A635" s="125"/>
      <c r="B635" s="125"/>
      <c r="C635" s="125"/>
      <c r="D635" s="125"/>
      <c r="E635" s="125"/>
      <c r="F635" s="125"/>
      <c r="G635" s="125"/>
      <c r="H635" s="125"/>
      <c r="I635" s="125"/>
      <c r="J635" s="125"/>
      <c r="K635" s="125"/>
      <c r="L635" s="125"/>
      <c r="M635" s="125"/>
      <c r="N635" s="125"/>
      <c r="O635" s="125"/>
      <c r="P635" s="125"/>
      <c r="Q635" s="125"/>
      <c r="R635" s="125"/>
    </row>
    <row r="636" spans="1:18" ht="15.75" customHeight="1">
      <c r="A636" s="125"/>
      <c r="B636" s="125"/>
      <c r="C636" s="125"/>
      <c r="D636" s="125"/>
      <c r="E636" s="125"/>
      <c r="F636" s="125"/>
      <c r="G636" s="125"/>
      <c r="H636" s="125"/>
      <c r="I636" s="125"/>
      <c r="J636" s="125"/>
      <c r="K636" s="125"/>
      <c r="L636" s="125"/>
      <c r="M636" s="125"/>
      <c r="N636" s="125"/>
      <c r="O636" s="125"/>
      <c r="P636" s="125"/>
      <c r="Q636" s="125"/>
      <c r="R636" s="125"/>
    </row>
    <row r="637" spans="1:18" ht="15.75" customHeight="1">
      <c r="A637" s="125"/>
      <c r="B637" s="125"/>
      <c r="C637" s="125"/>
      <c r="D637" s="125"/>
      <c r="E637" s="125"/>
      <c r="F637" s="125"/>
      <c r="G637" s="125"/>
      <c r="H637" s="125"/>
      <c r="I637" s="125"/>
      <c r="J637" s="125"/>
      <c r="K637" s="125"/>
      <c r="L637" s="125"/>
      <c r="M637" s="125"/>
      <c r="N637" s="125"/>
      <c r="O637" s="125"/>
      <c r="P637" s="125"/>
      <c r="Q637" s="125"/>
      <c r="R637" s="125"/>
    </row>
    <row r="638" spans="1:18" ht="15.75" customHeight="1">
      <c r="A638" s="125"/>
      <c r="B638" s="125"/>
      <c r="C638" s="125"/>
      <c r="D638" s="125"/>
      <c r="E638" s="125"/>
      <c r="F638" s="125"/>
      <c r="G638" s="125"/>
      <c r="H638" s="125"/>
      <c r="I638" s="125"/>
      <c r="J638" s="125"/>
      <c r="K638" s="125"/>
      <c r="L638" s="125"/>
      <c r="M638" s="125"/>
      <c r="N638" s="125"/>
      <c r="O638" s="125"/>
      <c r="P638" s="125"/>
      <c r="Q638" s="125"/>
      <c r="R638" s="125"/>
    </row>
    <row r="639" spans="1:18" ht="15.75" customHeight="1">
      <c r="A639" s="125"/>
      <c r="B639" s="125"/>
      <c r="C639" s="125"/>
      <c r="D639" s="125"/>
      <c r="E639" s="125"/>
      <c r="F639" s="125"/>
      <c r="G639" s="125"/>
      <c r="H639" s="125"/>
      <c r="I639" s="125"/>
      <c r="J639" s="125"/>
      <c r="K639" s="125"/>
      <c r="L639" s="125"/>
      <c r="M639" s="125"/>
      <c r="N639" s="125"/>
      <c r="O639" s="125"/>
      <c r="P639" s="125"/>
      <c r="Q639" s="125"/>
      <c r="R639" s="125"/>
    </row>
    <row r="640" spans="1:18" ht="15.75" customHeight="1">
      <c r="A640" s="125"/>
      <c r="B640" s="125"/>
      <c r="C640" s="125"/>
      <c r="D640" s="125"/>
      <c r="E640" s="125"/>
      <c r="F640" s="125"/>
      <c r="G640" s="125"/>
      <c r="H640" s="125"/>
      <c r="I640" s="125"/>
      <c r="J640" s="125"/>
      <c r="K640" s="125"/>
      <c r="L640" s="125"/>
      <c r="M640" s="125"/>
      <c r="N640" s="125"/>
      <c r="O640" s="125"/>
      <c r="P640" s="125"/>
      <c r="Q640" s="125"/>
      <c r="R640" s="125"/>
    </row>
    <row r="641" spans="1:18" ht="15.75" customHeight="1">
      <c r="A641" s="125"/>
      <c r="B641" s="125"/>
      <c r="C641" s="125"/>
      <c r="D641" s="125"/>
      <c r="E641" s="125"/>
      <c r="F641" s="125"/>
      <c r="G641" s="125"/>
      <c r="H641" s="125"/>
      <c r="I641" s="125"/>
      <c r="J641" s="125"/>
      <c r="K641" s="125"/>
      <c r="L641" s="125"/>
      <c r="M641" s="125"/>
      <c r="N641" s="125"/>
      <c r="O641" s="125"/>
      <c r="P641" s="125"/>
      <c r="Q641" s="125"/>
      <c r="R641" s="125"/>
    </row>
    <row r="642" spans="1:18" ht="15.75" customHeight="1">
      <c r="A642" s="125"/>
      <c r="B642" s="125"/>
      <c r="C642" s="125"/>
      <c r="D642" s="125"/>
      <c r="E642" s="125"/>
      <c r="F642" s="125"/>
      <c r="G642" s="125"/>
      <c r="H642" s="125"/>
      <c r="I642" s="125"/>
      <c r="J642" s="125"/>
      <c r="K642" s="125"/>
      <c r="L642" s="125"/>
      <c r="M642" s="125"/>
      <c r="N642" s="125"/>
      <c r="O642" s="125"/>
      <c r="P642" s="125"/>
      <c r="Q642" s="125"/>
      <c r="R642" s="125"/>
    </row>
    <row r="643" spans="1:18" ht="15.75" customHeight="1">
      <c r="A643" s="125"/>
      <c r="B643" s="125"/>
      <c r="C643" s="125"/>
      <c r="D643" s="125"/>
      <c r="E643" s="125"/>
      <c r="F643" s="125"/>
      <c r="G643" s="125"/>
      <c r="H643" s="125"/>
      <c r="I643" s="125"/>
      <c r="J643" s="125"/>
      <c r="K643" s="125"/>
      <c r="L643" s="125"/>
      <c r="M643" s="125"/>
      <c r="N643" s="125"/>
      <c r="O643" s="125"/>
      <c r="P643" s="125"/>
      <c r="Q643" s="125"/>
      <c r="R643" s="125"/>
    </row>
    <row r="644" spans="1:18" ht="15.75" customHeight="1">
      <c r="A644" s="125"/>
      <c r="B644" s="125"/>
      <c r="C644" s="125"/>
      <c r="D644" s="125"/>
      <c r="E644" s="125"/>
      <c r="F644" s="125"/>
      <c r="G644" s="125"/>
      <c r="H644" s="125"/>
      <c r="I644" s="125"/>
      <c r="J644" s="125"/>
      <c r="K644" s="125"/>
      <c r="L644" s="125"/>
      <c r="M644" s="125"/>
      <c r="N644" s="125"/>
      <c r="O644" s="125"/>
      <c r="P644" s="125"/>
      <c r="Q644" s="125"/>
      <c r="R644" s="125"/>
    </row>
    <row r="645" spans="1:18" ht="15.75" customHeight="1">
      <c r="A645" s="125"/>
      <c r="B645" s="125"/>
      <c r="C645" s="125"/>
      <c r="D645" s="125"/>
      <c r="E645" s="125"/>
      <c r="F645" s="125"/>
      <c r="G645" s="125"/>
      <c r="H645" s="125"/>
      <c r="I645" s="125"/>
      <c r="J645" s="125"/>
      <c r="K645" s="125"/>
      <c r="L645" s="125"/>
      <c r="M645" s="125"/>
      <c r="N645" s="125"/>
      <c r="O645" s="125"/>
      <c r="P645" s="125"/>
      <c r="Q645" s="125"/>
      <c r="R645" s="125"/>
    </row>
    <row r="646" spans="1:18" ht="15.75" customHeight="1">
      <c r="A646" s="125"/>
      <c r="B646" s="125"/>
      <c r="C646" s="125"/>
      <c r="D646" s="125"/>
      <c r="E646" s="125"/>
      <c r="F646" s="125"/>
      <c r="G646" s="125"/>
      <c r="H646" s="125"/>
      <c r="I646" s="125"/>
      <c r="J646" s="125"/>
      <c r="K646" s="125"/>
      <c r="L646" s="125"/>
      <c r="M646" s="125"/>
      <c r="N646" s="125"/>
      <c r="O646" s="125"/>
      <c r="P646" s="125"/>
      <c r="Q646" s="125"/>
      <c r="R646" s="125"/>
    </row>
    <row r="647" spans="1:18" ht="15.75" customHeight="1">
      <c r="A647" s="125"/>
      <c r="B647" s="125"/>
      <c r="C647" s="125"/>
      <c r="D647" s="125"/>
      <c r="E647" s="125"/>
      <c r="F647" s="125"/>
      <c r="G647" s="125"/>
      <c r="H647" s="125"/>
      <c r="I647" s="125"/>
      <c r="J647" s="125"/>
      <c r="K647" s="125"/>
      <c r="L647" s="125"/>
      <c r="M647" s="125"/>
      <c r="N647" s="125"/>
      <c r="O647" s="125"/>
      <c r="P647" s="125"/>
      <c r="Q647" s="125"/>
      <c r="R647" s="125"/>
    </row>
    <row r="648" spans="1:18" ht="15.75" customHeight="1">
      <c r="A648" s="125"/>
      <c r="B648" s="125"/>
      <c r="C648" s="125"/>
      <c r="D648" s="125"/>
      <c r="E648" s="125"/>
      <c r="F648" s="125"/>
      <c r="G648" s="125"/>
      <c r="H648" s="125"/>
      <c r="I648" s="125"/>
      <c r="J648" s="125"/>
      <c r="K648" s="125"/>
      <c r="L648" s="125"/>
      <c r="M648" s="125"/>
      <c r="N648" s="125"/>
      <c r="O648" s="125"/>
      <c r="P648" s="125"/>
      <c r="Q648" s="125"/>
      <c r="R648" s="125"/>
    </row>
    <row r="649" spans="1:18" ht="15.75" customHeight="1">
      <c r="A649" s="125"/>
      <c r="B649" s="125"/>
      <c r="C649" s="125"/>
      <c r="D649" s="125"/>
      <c r="E649" s="125"/>
      <c r="F649" s="125"/>
      <c r="G649" s="125"/>
      <c r="H649" s="125"/>
      <c r="I649" s="125"/>
      <c r="J649" s="125"/>
      <c r="K649" s="125"/>
      <c r="L649" s="125"/>
      <c r="M649" s="125"/>
      <c r="N649" s="125"/>
      <c r="O649" s="125"/>
      <c r="P649" s="125"/>
      <c r="Q649" s="125"/>
      <c r="R649" s="125"/>
    </row>
    <row r="650" spans="1:18" ht="15.75" customHeight="1">
      <c r="A650" s="125"/>
      <c r="B650" s="125"/>
      <c r="C650" s="125"/>
      <c r="D650" s="125"/>
      <c r="E650" s="125"/>
      <c r="F650" s="125"/>
      <c r="G650" s="125"/>
      <c r="H650" s="125"/>
      <c r="I650" s="125"/>
      <c r="J650" s="125"/>
      <c r="K650" s="125"/>
      <c r="L650" s="125"/>
      <c r="M650" s="125"/>
      <c r="N650" s="125"/>
      <c r="O650" s="125"/>
      <c r="P650" s="125"/>
      <c r="Q650" s="125"/>
      <c r="R650" s="125"/>
    </row>
    <row r="651" spans="1:18" ht="15.75" customHeight="1">
      <c r="A651" s="125"/>
      <c r="B651" s="125"/>
      <c r="C651" s="125"/>
      <c r="D651" s="125"/>
      <c r="E651" s="125"/>
      <c r="F651" s="125"/>
      <c r="G651" s="125"/>
      <c r="H651" s="125"/>
      <c r="I651" s="125"/>
      <c r="J651" s="125"/>
      <c r="K651" s="125"/>
      <c r="L651" s="125"/>
      <c r="M651" s="125"/>
      <c r="N651" s="125"/>
      <c r="O651" s="125"/>
      <c r="P651" s="125"/>
      <c r="Q651" s="125"/>
      <c r="R651" s="125"/>
    </row>
    <row r="652" spans="1:18" ht="15.75" customHeight="1">
      <c r="A652" s="125"/>
      <c r="B652" s="125"/>
      <c r="C652" s="125"/>
      <c r="D652" s="125"/>
      <c r="E652" s="125"/>
      <c r="F652" s="125"/>
      <c r="G652" s="125"/>
      <c r="H652" s="125"/>
      <c r="I652" s="125"/>
      <c r="J652" s="125"/>
      <c r="K652" s="125"/>
      <c r="L652" s="125"/>
      <c r="M652" s="125"/>
      <c r="N652" s="125"/>
      <c r="O652" s="125"/>
      <c r="P652" s="125"/>
      <c r="Q652" s="125"/>
      <c r="R652" s="125"/>
    </row>
    <row r="653" spans="1:18" ht="15.75" customHeight="1">
      <c r="A653" s="125"/>
      <c r="B653" s="125"/>
      <c r="C653" s="125"/>
      <c r="D653" s="125"/>
      <c r="E653" s="125"/>
      <c r="F653" s="125"/>
      <c r="G653" s="125"/>
      <c r="H653" s="125"/>
      <c r="I653" s="125"/>
      <c r="J653" s="125"/>
      <c r="K653" s="125"/>
      <c r="L653" s="125"/>
      <c r="M653" s="125"/>
      <c r="N653" s="125"/>
      <c r="O653" s="125"/>
      <c r="P653" s="125"/>
      <c r="Q653" s="125"/>
      <c r="R653" s="125"/>
    </row>
    <row r="654" spans="1:18" ht="15.75" customHeight="1">
      <c r="A654" s="125"/>
      <c r="B654" s="125"/>
      <c r="C654" s="125"/>
      <c r="D654" s="125"/>
      <c r="E654" s="125"/>
      <c r="F654" s="125"/>
      <c r="G654" s="125"/>
      <c r="H654" s="125"/>
      <c r="I654" s="125"/>
      <c r="J654" s="125"/>
      <c r="K654" s="125"/>
      <c r="L654" s="125"/>
      <c r="M654" s="125"/>
      <c r="N654" s="125"/>
      <c r="O654" s="125"/>
      <c r="P654" s="125"/>
      <c r="Q654" s="125"/>
      <c r="R654" s="125"/>
    </row>
    <row r="655" spans="1:18" ht="15.75" customHeight="1">
      <c r="A655" s="125"/>
      <c r="B655" s="125"/>
      <c r="C655" s="125"/>
      <c r="D655" s="125"/>
      <c r="E655" s="125"/>
      <c r="F655" s="125"/>
      <c r="G655" s="125"/>
      <c r="H655" s="125"/>
      <c r="I655" s="125"/>
      <c r="J655" s="125"/>
      <c r="K655" s="125"/>
      <c r="L655" s="125"/>
      <c r="M655" s="125"/>
      <c r="N655" s="125"/>
      <c r="O655" s="125"/>
      <c r="P655" s="125"/>
      <c r="Q655" s="125"/>
      <c r="R655" s="125"/>
    </row>
    <row r="656" spans="1:18" ht="15.75" customHeight="1">
      <c r="A656" s="125"/>
      <c r="B656" s="125"/>
      <c r="C656" s="125"/>
      <c r="D656" s="125"/>
      <c r="E656" s="125"/>
      <c r="F656" s="125"/>
      <c r="G656" s="125"/>
      <c r="H656" s="125"/>
      <c r="I656" s="125"/>
      <c r="J656" s="125"/>
      <c r="K656" s="125"/>
      <c r="L656" s="125"/>
      <c r="M656" s="125"/>
      <c r="N656" s="125"/>
      <c r="O656" s="125"/>
      <c r="P656" s="125"/>
      <c r="Q656" s="125"/>
      <c r="R656" s="125"/>
    </row>
    <row r="657" spans="1:18" ht="15.75" customHeight="1">
      <c r="A657" s="125"/>
      <c r="B657" s="125"/>
      <c r="C657" s="125"/>
      <c r="D657" s="125"/>
      <c r="E657" s="125"/>
      <c r="F657" s="125"/>
      <c r="G657" s="125"/>
      <c r="H657" s="125"/>
      <c r="I657" s="125"/>
      <c r="J657" s="125"/>
      <c r="K657" s="125"/>
      <c r="L657" s="125"/>
      <c r="M657" s="125"/>
      <c r="N657" s="125"/>
      <c r="O657" s="125"/>
      <c r="P657" s="125"/>
      <c r="Q657" s="125"/>
      <c r="R657" s="125"/>
    </row>
    <row r="658" spans="1:18" ht="15.75" customHeight="1">
      <c r="A658" s="125"/>
      <c r="B658" s="125"/>
      <c r="C658" s="125"/>
      <c r="D658" s="125"/>
      <c r="E658" s="125"/>
      <c r="F658" s="125"/>
      <c r="G658" s="125"/>
      <c r="H658" s="125"/>
      <c r="I658" s="125"/>
      <c r="J658" s="125"/>
      <c r="K658" s="125"/>
      <c r="L658" s="125"/>
      <c r="M658" s="125"/>
      <c r="N658" s="125"/>
      <c r="O658" s="125"/>
      <c r="P658" s="125"/>
      <c r="Q658" s="125"/>
      <c r="R658" s="125"/>
    </row>
    <row r="659" spans="1:18" ht="15.75" customHeight="1">
      <c r="A659" s="125"/>
      <c r="B659" s="125"/>
      <c r="C659" s="125"/>
      <c r="D659" s="125"/>
      <c r="E659" s="125"/>
      <c r="F659" s="125"/>
      <c r="G659" s="125"/>
      <c r="H659" s="125"/>
      <c r="I659" s="125"/>
      <c r="J659" s="125"/>
      <c r="K659" s="125"/>
      <c r="L659" s="125"/>
      <c r="M659" s="125"/>
      <c r="N659" s="125"/>
      <c r="O659" s="125"/>
      <c r="P659" s="125"/>
      <c r="Q659" s="125"/>
      <c r="R659" s="125"/>
    </row>
    <row r="660" spans="1:18" ht="15.75" customHeight="1">
      <c r="A660" s="125"/>
      <c r="B660" s="125"/>
      <c r="C660" s="125"/>
      <c r="D660" s="125"/>
      <c r="E660" s="125"/>
      <c r="F660" s="125"/>
      <c r="G660" s="125"/>
      <c r="H660" s="125"/>
      <c r="I660" s="125"/>
      <c r="J660" s="125"/>
      <c r="K660" s="125"/>
      <c r="L660" s="125"/>
      <c r="M660" s="125"/>
      <c r="N660" s="125"/>
      <c r="O660" s="125"/>
      <c r="P660" s="125"/>
      <c r="Q660" s="125"/>
      <c r="R660" s="125"/>
    </row>
    <row r="661" spans="1:18" ht="15.75" customHeight="1">
      <c r="A661" s="125"/>
      <c r="B661" s="125"/>
      <c r="C661" s="125"/>
      <c r="D661" s="125"/>
      <c r="E661" s="125"/>
      <c r="F661" s="125"/>
      <c r="G661" s="125"/>
      <c r="H661" s="125"/>
      <c r="I661" s="125"/>
      <c r="J661" s="125"/>
      <c r="K661" s="125"/>
      <c r="L661" s="125"/>
      <c r="M661" s="125"/>
      <c r="N661" s="125"/>
      <c r="O661" s="125"/>
      <c r="P661" s="125"/>
      <c r="Q661" s="125"/>
      <c r="R661" s="125"/>
    </row>
    <row r="662" spans="1:18" ht="15.75" customHeight="1">
      <c r="A662" s="125"/>
      <c r="B662" s="125"/>
      <c r="C662" s="125"/>
      <c r="D662" s="125"/>
      <c r="E662" s="125"/>
      <c r="F662" s="125"/>
      <c r="G662" s="125"/>
      <c r="H662" s="125"/>
      <c r="I662" s="125"/>
      <c r="J662" s="125"/>
      <c r="K662" s="125"/>
      <c r="L662" s="125"/>
      <c r="M662" s="125"/>
      <c r="N662" s="125"/>
      <c r="O662" s="125"/>
      <c r="P662" s="125"/>
      <c r="Q662" s="125"/>
      <c r="R662" s="125"/>
    </row>
    <row r="663" spans="1:18" ht="15.75" customHeight="1">
      <c r="A663" s="125"/>
      <c r="B663" s="125"/>
      <c r="C663" s="125"/>
      <c r="D663" s="125"/>
      <c r="E663" s="125"/>
      <c r="F663" s="125"/>
      <c r="G663" s="125"/>
      <c r="H663" s="125"/>
      <c r="I663" s="125"/>
      <c r="J663" s="125"/>
      <c r="K663" s="125"/>
      <c r="L663" s="125"/>
      <c r="M663" s="125"/>
      <c r="N663" s="125"/>
      <c r="O663" s="125"/>
      <c r="P663" s="125"/>
      <c r="Q663" s="125"/>
      <c r="R663" s="125"/>
    </row>
    <row r="664" spans="1:18" ht="15.75" customHeight="1">
      <c r="A664" s="125"/>
      <c r="B664" s="125"/>
      <c r="C664" s="125"/>
      <c r="D664" s="125"/>
      <c r="E664" s="125"/>
      <c r="F664" s="125"/>
      <c r="G664" s="125"/>
      <c r="H664" s="125"/>
      <c r="I664" s="125"/>
      <c r="J664" s="125"/>
      <c r="K664" s="125"/>
      <c r="L664" s="125"/>
      <c r="M664" s="125"/>
      <c r="N664" s="125"/>
      <c r="O664" s="125"/>
      <c r="P664" s="125"/>
      <c r="Q664" s="125"/>
      <c r="R664" s="125"/>
    </row>
    <row r="665" spans="1:18" ht="15.75" customHeight="1">
      <c r="A665" s="125"/>
      <c r="B665" s="125"/>
      <c r="C665" s="125"/>
      <c r="D665" s="125"/>
      <c r="E665" s="125"/>
      <c r="F665" s="125"/>
      <c r="G665" s="125"/>
      <c r="H665" s="125"/>
      <c r="I665" s="125"/>
      <c r="J665" s="125"/>
      <c r="K665" s="125"/>
      <c r="L665" s="125"/>
      <c r="M665" s="125"/>
      <c r="N665" s="125"/>
      <c r="O665" s="125"/>
      <c r="P665" s="125"/>
      <c r="Q665" s="125"/>
      <c r="R665" s="125"/>
    </row>
    <row r="666" spans="1:18" ht="15.75" customHeight="1">
      <c r="A666" s="125"/>
      <c r="B666" s="125"/>
      <c r="C666" s="125"/>
      <c r="D666" s="125"/>
      <c r="E666" s="125"/>
      <c r="F666" s="125"/>
      <c r="G666" s="125"/>
      <c r="H666" s="125"/>
      <c r="I666" s="125"/>
      <c r="J666" s="125"/>
      <c r="K666" s="125"/>
      <c r="L666" s="125"/>
      <c r="M666" s="125"/>
      <c r="N666" s="125"/>
      <c r="O666" s="125"/>
      <c r="P666" s="125"/>
      <c r="Q666" s="125"/>
      <c r="R666" s="125"/>
    </row>
    <row r="667" spans="1:18" ht="15.75" customHeight="1">
      <c r="A667" s="125"/>
      <c r="B667" s="125"/>
      <c r="C667" s="125"/>
      <c r="D667" s="125"/>
      <c r="E667" s="125"/>
      <c r="F667" s="125"/>
      <c r="G667" s="125"/>
      <c r="H667" s="125"/>
      <c r="I667" s="125"/>
      <c r="J667" s="125"/>
      <c r="K667" s="125"/>
      <c r="L667" s="125"/>
      <c r="M667" s="125"/>
      <c r="N667" s="125"/>
      <c r="O667" s="125"/>
      <c r="P667" s="125"/>
      <c r="Q667" s="125"/>
      <c r="R667" s="125"/>
    </row>
    <row r="668" spans="1:18" ht="15.75" customHeight="1">
      <c r="A668" s="125"/>
      <c r="B668" s="125"/>
      <c r="C668" s="125"/>
      <c r="D668" s="125"/>
      <c r="E668" s="125"/>
      <c r="F668" s="125"/>
      <c r="G668" s="125"/>
      <c r="H668" s="125"/>
      <c r="I668" s="125"/>
      <c r="J668" s="125"/>
      <c r="K668" s="125"/>
      <c r="L668" s="125"/>
      <c r="M668" s="125"/>
      <c r="N668" s="125"/>
      <c r="O668" s="125"/>
      <c r="P668" s="125"/>
      <c r="Q668" s="125"/>
      <c r="R668" s="125"/>
    </row>
    <row r="669" spans="1:18" ht="15.75" customHeight="1">
      <c r="A669" s="125"/>
      <c r="B669" s="125"/>
      <c r="C669" s="125"/>
      <c r="D669" s="125"/>
      <c r="E669" s="125"/>
      <c r="F669" s="125"/>
      <c r="G669" s="125"/>
      <c r="H669" s="125"/>
      <c r="I669" s="125"/>
      <c r="J669" s="125"/>
      <c r="K669" s="125"/>
      <c r="L669" s="125"/>
      <c r="M669" s="125"/>
      <c r="N669" s="125"/>
      <c r="O669" s="125"/>
      <c r="P669" s="125"/>
      <c r="Q669" s="125"/>
      <c r="R669" s="125"/>
    </row>
    <row r="670" spans="1:18" ht="15.75" customHeight="1">
      <c r="A670" s="125"/>
      <c r="B670" s="125"/>
      <c r="C670" s="125"/>
      <c r="D670" s="125"/>
      <c r="E670" s="125"/>
      <c r="F670" s="125"/>
      <c r="G670" s="125"/>
      <c r="H670" s="125"/>
      <c r="I670" s="125"/>
      <c r="J670" s="125"/>
      <c r="K670" s="125"/>
      <c r="L670" s="125"/>
      <c r="M670" s="125"/>
      <c r="N670" s="125"/>
      <c r="O670" s="125"/>
      <c r="P670" s="125"/>
      <c r="Q670" s="125"/>
      <c r="R670" s="125"/>
    </row>
    <row r="671" spans="1:18" ht="15.75" customHeight="1">
      <c r="A671" s="125"/>
      <c r="B671" s="125"/>
      <c r="C671" s="125"/>
      <c r="D671" s="125"/>
      <c r="E671" s="125"/>
      <c r="F671" s="125"/>
      <c r="G671" s="125"/>
      <c r="H671" s="125"/>
      <c r="I671" s="125"/>
      <c r="J671" s="125"/>
      <c r="K671" s="125"/>
      <c r="L671" s="125"/>
      <c r="M671" s="125"/>
      <c r="N671" s="125"/>
      <c r="O671" s="125"/>
      <c r="P671" s="125"/>
      <c r="Q671" s="125"/>
      <c r="R671" s="125"/>
    </row>
    <row r="672" spans="1:18" ht="15.75" customHeight="1">
      <c r="A672" s="125"/>
      <c r="B672" s="125"/>
      <c r="C672" s="125"/>
      <c r="D672" s="125"/>
      <c r="E672" s="125"/>
      <c r="F672" s="125"/>
      <c r="G672" s="125"/>
      <c r="H672" s="125"/>
      <c r="I672" s="125"/>
      <c r="J672" s="125"/>
      <c r="K672" s="125"/>
      <c r="L672" s="125"/>
      <c r="M672" s="125"/>
      <c r="N672" s="125"/>
      <c r="O672" s="125"/>
      <c r="P672" s="125"/>
      <c r="Q672" s="125"/>
      <c r="R672" s="125"/>
    </row>
    <row r="673" spans="1:18" ht="15.75" customHeight="1">
      <c r="A673" s="125"/>
      <c r="B673" s="125"/>
      <c r="C673" s="125"/>
      <c r="D673" s="125"/>
      <c r="E673" s="125"/>
      <c r="F673" s="125"/>
      <c r="G673" s="125"/>
      <c r="H673" s="125"/>
      <c r="I673" s="125"/>
      <c r="J673" s="125"/>
      <c r="K673" s="125"/>
      <c r="L673" s="125"/>
      <c r="M673" s="125"/>
      <c r="N673" s="125"/>
      <c r="O673" s="125"/>
      <c r="P673" s="125"/>
      <c r="Q673" s="125"/>
      <c r="R673" s="125"/>
    </row>
    <row r="674" spans="1:18" ht="15.75" customHeight="1">
      <c r="A674" s="125"/>
      <c r="B674" s="125"/>
      <c r="C674" s="125"/>
      <c r="D674" s="125"/>
      <c r="E674" s="125"/>
      <c r="F674" s="125"/>
      <c r="G674" s="125"/>
      <c r="H674" s="125"/>
      <c r="I674" s="125"/>
      <c r="J674" s="125"/>
      <c r="K674" s="125"/>
      <c r="L674" s="125"/>
      <c r="M674" s="125"/>
      <c r="N674" s="125"/>
      <c r="O674" s="125"/>
      <c r="P674" s="125"/>
      <c r="Q674" s="125"/>
      <c r="R674" s="125"/>
    </row>
    <row r="675" spans="1:18" ht="15.75" customHeight="1">
      <c r="A675" s="125"/>
      <c r="B675" s="125"/>
      <c r="C675" s="125"/>
      <c r="D675" s="125"/>
      <c r="E675" s="125"/>
      <c r="F675" s="125"/>
      <c r="G675" s="125"/>
      <c r="H675" s="125"/>
      <c r="I675" s="125"/>
      <c r="J675" s="125"/>
      <c r="K675" s="125"/>
      <c r="L675" s="125"/>
      <c r="M675" s="125"/>
      <c r="N675" s="125"/>
      <c r="O675" s="125"/>
      <c r="P675" s="125"/>
      <c r="Q675" s="125"/>
      <c r="R675" s="125"/>
    </row>
    <row r="676" spans="1:18" ht="15.75" customHeight="1">
      <c r="A676" s="125"/>
      <c r="B676" s="125"/>
      <c r="C676" s="125"/>
      <c r="D676" s="125"/>
      <c r="E676" s="125"/>
      <c r="F676" s="125"/>
      <c r="G676" s="125"/>
      <c r="H676" s="125"/>
      <c r="I676" s="125"/>
      <c r="J676" s="125"/>
      <c r="K676" s="125"/>
      <c r="L676" s="125"/>
      <c r="M676" s="125"/>
      <c r="N676" s="125"/>
      <c r="O676" s="125"/>
      <c r="P676" s="125"/>
      <c r="Q676" s="125"/>
      <c r="R676" s="125"/>
    </row>
    <row r="677" spans="1:18" ht="15.75" customHeight="1">
      <c r="A677" s="125"/>
      <c r="B677" s="125"/>
      <c r="C677" s="125"/>
      <c r="D677" s="125"/>
      <c r="E677" s="125"/>
      <c r="F677" s="125"/>
      <c r="G677" s="125"/>
      <c r="H677" s="125"/>
      <c r="I677" s="125"/>
      <c r="J677" s="125"/>
      <c r="K677" s="125"/>
      <c r="L677" s="125"/>
      <c r="M677" s="125"/>
      <c r="N677" s="125"/>
      <c r="O677" s="125"/>
      <c r="P677" s="125"/>
      <c r="Q677" s="125"/>
      <c r="R677" s="125"/>
    </row>
    <row r="678" spans="1:18" ht="15.75" customHeight="1">
      <c r="A678" s="125"/>
      <c r="B678" s="125"/>
      <c r="C678" s="125"/>
      <c r="D678" s="125"/>
      <c r="E678" s="125"/>
      <c r="F678" s="125"/>
      <c r="G678" s="125"/>
      <c r="H678" s="125"/>
      <c r="I678" s="125"/>
      <c r="J678" s="125"/>
      <c r="K678" s="125"/>
      <c r="L678" s="125"/>
      <c r="M678" s="125"/>
      <c r="N678" s="125"/>
      <c r="O678" s="125"/>
      <c r="P678" s="125"/>
      <c r="Q678" s="125"/>
      <c r="R678" s="125"/>
    </row>
    <row r="679" spans="1:18" ht="15.75" customHeight="1">
      <c r="A679" s="125"/>
      <c r="B679" s="125"/>
      <c r="C679" s="125"/>
      <c r="D679" s="125"/>
      <c r="E679" s="125"/>
      <c r="F679" s="125"/>
      <c r="G679" s="125"/>
      <c r="H679" s="125"/>
      <c r="I679" s="125"/>
      <c r="J679" s="125"/>
      <c r="K679" s="125"/>
      <c r="L679" s="125"/>
      <c r="M679" s="125"/>
      <c r="N679" s="125"/>
      <c r="O679" s="125"/>
      <c r="P679" s="125"/>
      <c r="Q679" s="125"/>
      <c r="R679" s="125"/>
    </row>
    <row r="680" spans="1:18" ht="15.75" customHeight="1">
      <c r="A680" s="125"/>
      <c r="B680" s="125"/>
      <c r="C680" s="125"/>
      <c r="D680" s="125"/>
      <c r="E680" s="125"/>
      <c r="F680" s="125"/>
      <c r="G680" s="125"/>
      <c r="H680" s="125"/>
      <c r="I680" s="125"/>
      <c r="J680" s="125"/>
      <c r="K680" s="125"/>
      <c r="L680" s="125"/>
      <c r="M680" s="125"/>
      <c r="N680" s="125"/>
      <c r="O680" s="125"/>
      <c r="P680" s="125"/>
      <c r="Q680" s="125"/>
      <c r="R680" s="125"/>
    </row>
    <row r="681" spans="1:18" ht="15.75" customHeight="1">
      <c r="A681" s="125"/>
      <c r="B681" s="125"/>
      <c r="C681" s="125"/>
      <c r="D681" s="125"/>
      <c r="E681" s="125"/>
      <c r="F681" s="125"/>
      <c r="G681" s="125"/>
      <c r="H681" s="125"/>
      <c r="I681" s="125"/>
      <c r="J681" s="125"/>
      <c r="K681" s="125"/>
      <c r="L681" s="125"/>
      <c r="M681" s="125"/>
      <c r="N681" s="125"/>
      <c r="O681" s="125"/>
      <c r="P681" s="125"/>
      <c r="Q681" s="125"/>
      <c r="R681" s="125"/>
    </row>
    <row r="682" spans="1:18" ht="15.75" customHeight="1">
      <c r="A682" s="125"/>
      <c r="B682" s="125"/>
      <c r="C682" s="125"/>
      <c r="D682" s="125"/>
      <c r="E682" s="125"/>
      <c r="F682" s="125"/>
      <c r="G682" s="125"/>
      <c r="H682" s="125"/>
      <c r="I682" s="125"/>
      <c r="J682" s="125"/>
      <c r="K682" s="125"/>
      <c r="L682" s="125"/>
      <c r="M682" s="125"/>
      <c r="N682" s="125"/>
      <c r="O682" s="125"/>
      <c r="P682" s="125"/>
      <c r="Q682" s="125"/>
      <c r="R682" s="125"/>
    </row>
    <row r="683" spans="1:18" ht="15.75" customHeight="1">
      <c r="A683" s="125"/>
      <c r="B683" s="125"/>
      <c r="C683" s="125"/>
      <c r="D683" s="125"/>
      <c r="E683" s="125"/>
      <c r="F683" s="125"/>
      <c r="G683" s="125"/>
      <c r="H683" s="125"/>
      <c r="I683" s="125"/>
      <c r="J683" s="125"/>
      <c r="K683" s="125"/>
      <c r="L683" s="125"/>
      <c r="M683" s="125"/>
      <c r="N683" s="125"/>
      <c r="O683" s="125"/>
      <c r="P683" s="125"/>
      <c r="Q683" s="125"/>
      <c r="R683" s="125"/>
    </row>
    <row r="684" spans="1:18" ht="15.75" customHeight="1">
      <c r="A684" s="125"/>
      <c r="B684" s="125"/>
      <c r="C684" s="125"/>
      <c r="D684" s="125"/>
      <c r="E684" s="125"/>
      <c r="F684" s="125"/>
      <c r="G684" s="125"/>
      <c r="H684" s="125"/>
      <c r="I684" s="125"/>
      <c r="J684" s="125"/>
      <c r="K684" s="125"/>
      <c r="L684" s="125"/>
      <c r="M684" s="125"/>
      <c r="N684" s="125"/>
      <c r="O684" s="125"/>
      <c r="P684" s="125"/>
      <c r="Q684" s="125"/>
      <c r="R684" s="125"/>
    </row>
    <row r="685" spans="1:18" ht="15.75" customHeight="1">
      <c r="A685" s="125"/>
      <c r="B685" s="125"/>
      <c r="C685" s="125"/>
      <c r="D685" s="125"/>
      <c r="E685" s="125"/>
      <c r="F685" s="125"/>
      <c r="G685" s="125"/>
      <c r="H685" s="125"/>
      <c r="I685" s="125"/>
      <c r="J685" s="125"/>
      <c r="K685" s="125"/>
      <c r="L685" s="125"/>
      <c r="M685" s="125"/>
      <c r="N685" s="125"/>
      <c r="O685" s="125"/>
      <c r="P685" s="125"/>
      <c r="Q685" s="125"/>
      <c r="R685" s="125"/>
    </row>
    <row r="686" spans="1:18" ht="15.75" customHeight="1">
      <c r="A686" s="125"/>
      <c r="B686" s="125"/>
      <c r="C686" s="125"/>
      <c r="D686" s="125"/>
      <c r="E686" s="125"/>
      <c r="F686" s="125"/>
      <c r="G686" s="125"/>
      <c r="H686" s="125"/>
      <c r="I686" s="125"/>
      <c r="J686" s="125"/>
      <c r="K686" s="125"/>
      <c r="L686" s="125"/>
      <c r="M686" s="125"/>
      <c r="N686" s="125"/>
      <c r="O686" s="125"/>
      <c r="P686" s="125"/>
      <c r="Q686" s="125"/>
      <c r="R686" s="125"/>
    </row>
    <row r="687" spans="1:18" ht="15.75" customHeight="1">
      <c r="A687" s="125"/>
      <c r="B687" s="125"/>
      <c r="C687" s="125"/>
      <c r="D687" s="125"/>
      <c r="E687" s="125"/>
      <c r="F687" s="125"/>
      <c r="G687" s="125"/>
      <c r="H687" s="125"/>
      <c r="I687" s="125"/>
      <c r="J687" s="125"/>
      <c r="K687" s="125"/>
      <c r="L687" s="125"/>
      <c r="M687" s="125"/>
      <c r="N687" s="125"/>
      <c r="O687" s="125"/>
      <c r="P687" s="125"/>
      <c r="Q687" s="125"/>
      <c r="R687" s="125"/>
    </row>
    <row r="688" spans="1:18" ht="15.75" customHeight="1">
      <c r="A688" s="125"/>
      <c r="B688" s="125"/>
      <c r="C688" s="125"/>
      <c r="D688" s="125"/>
      <c r="E688" s="125"/>
      <c r="F688" s="125"/>
      <c r="G688" s="125"/>
      <c r="H688" s="125"/>
      <c r="I688" s="125"/>
      <c r="J688" s="125"/>
      <c r="K688" s="125"/>
      <c r="L688" s="125"/>
      <c r="M688" s="125"/>
      <c r="N688" s="125"/>
      <c r="O688" s="125"/>
      <c r="P688" s="125"/>
      <c r="Q688" s="125"/>
      <c r="R688" s="125"/>
    </row>
    <row r="689" spans="1:18" ht="15.75" customHeight="1">
      <c r="A689" s="125"/>
      <c r="B689" s="125"/>
      <c r="C689" s="125"/>
      <c r="D689" s="125"/>
      <c r="E689" s="125"/>
      <c r="F689" s="125"/>
      <c r="G689" s="125"/>
      <c r="H689" s="125"/>
      <c r="I689" s="125"/>
      <c r="J689" s="125"/>
      <c r="K689" s="125"/>
      <c r="L689" s="125"/>
      <c r="M689" s="125"/>
      <c r="N689" s="125"/>
      <c r="O689" s="125"/>
      <c r="P689" s="125"/>
      <c r="Q689" s="125"/>
      <c r="R689" s="125"/>
    </row>
    <row r="690" spans="1:18" ht="15.75" customHeight="1">
      <c r="A690" s="125"/>
      <c r="B690" s="125"/>
      <c r="C690" s="125"/>
      <c r="D690" s="125"/>
      <c r="E690" s="125"/>
      <c r="F690" s="125"/>
      <c r="G690" s="125"/>
      <c r="H690" s="125"/>
      <c r="I690" s="125"/>
      <c r="J690" s="125"/>
      <c r="K690" s="125"/>
      <c r="L690" s="125"/>
      <c r="M690" s="125"/>
      <c r="N690" s="125"/>
      <c r="O690" s="125"/>
      <c r="P690" s="125"/>
      <c r="Q690" s="125"/>
      <c r="R690" s="125"/>
    </row>
    <row r="691" spans="1:18" ht="15.75" customHeight="1">
      <c r="A691" s="125"/>
      <c r="B691" s="125"/>
      <c r="C691" s="125"/>
      <c r="D691" s="125"/>
      <c r="E691" s="125"/>
      <c r="F691" s="125"/>
      <c r="G691" s="125"/>
      <c r="H691" s="125"/>
      <c r="I691" s="125"/>
      <c r="J691" s="125"/>
      <c r="K691" s="125"/>
      <c r="L691" s="125"/>
      <c r="M691" s="125"/>
      <c r="N691" s="125"/>
      <c r="O691" s="125"/>
      <c r="P691" s="125"/>
      <c r="Q691" s="125"/>
      <c r="R691" s="125"/>
    </row>
    <row r="692" spans="1:18" ht="15.75" customHeight="1">
      <c r="A692" s="125"/>
      <c r="B692" s="125"/>
      <c r="C692" s="125"/>
      <c r="D692" s="125"/>
      <c r="E692" s="125"/>
      <c r="F692" s="125"/>
      <c r="G692" s="125"/>
      <c r="H692" s="125"/>
      <c r="I692" s="125"/>
      <c r="J692" s="125"/>
      <c r="K692" s="125"/>
      <c r="L692" s="125"/>
      <c r="M692" s="125"/>
      <c r="N692" s="125"/>
      <c r="O692" s="125"/>
      <c r="P692" s="125"/>
      <c r="Q692" s="125"/>
      <c r="R692" s="125"/>
    </row>
    <row r="693" spans="1:18" ht="15.75" customHeight="1">
      <c r="A693" s="125"/>
      <c r="B693" s="125"/>
      <c r="C693" s="125"/>
      <c r="D693" s="125"/>
      <c r="E693" s="125"/>
      <c r="F693" s="125"/>
      <c r="G693" s="125"/>
      <c r="H693" s="125"/>
      <c r="I693" s="125"/>
      <c r="J693" s="125"/>
      <c r="K693" s="125"/>
      <c r="L693" s="125"/>
      <c r="M693" s="125"/>
      <c r="N693" s="125"/>
      <c r="O693" s="125"/>
      <c r="P693" s="125"/>
      <c r="Q693" s="125"/>
      <c r="R693" s="125"/>
    </row>
    <row r="694" spans="1:18" ht="15.75" customHeight="1">
      <c r="A694" s="125"/>
      <c r="B694" s="125"/>
      <c r="C694" s="125"/>
      <c r="D694" s="125"/>
      <c r="E694" s="125"/>
      <c r="F694" s="125"/>
      <c r="G694" s="125"/>
      <c r="H694" s="125"/>
      <c r="I694" s="125"/>
      <c r="J694" s="125"/>
      <c r="K694" s="125"/>
      <c r="L694" s="125"/>
      <c r="M694" s="125"/>
      <c r="N694" s="125"/>
      <c r="O694" s="125"/>
      <c r="P694" s="125"/>
      <c r="Q694" s="125"/>
      <c r="R694" s="125"/>
    </row>
    <row r="695" spans="1:18" ht="15.75" customHeight="1">
      <c r="A695" s="125"/>
      <c r="B695" s="125"/>
      <c r="C695" s="125"/>
      <c r="D695" s="125"/>
      <c r="E695" s="125"/>
      <c r="F695" s="125"/>
      <c r="G695" s="125"/>
      <c r="H695" s="125"/>
      <c r="I695" s="125"/>
      <c r="J695" s="125"/>
      <c r="K695" s="125"/>
      <c r="L695" s="125"/>
      <c r="M695" s="125"/>
      <c r="N695" s="125"/>
      <c r="O695" s="125"/>
      <c r="P695" s="125"/>
      <c r="Q695" s="125"/>
      <c r="R695" s="125"/>
    </row>
    <row r="696" spans="1:18" ht="15.75" customHeight="1">
      <c r="A696" s="125"/>
      <c r="B696" s="125"/>
      <c r="C696" s="125"/>
      <c r="D696" s="125"/>
      <c r="E696" s="125"/>
      <c r="F696" s="125"/>
      <c r="G696" s="125"/>
      <c r="H696" s="125"/>
      <c r="I696" s="125"/>
      <c r="J696" s="125"/>
      <c r="K696" s="125"/>
      <c r="L696" s="125"/>
      <c r="M696" s="125"/>
      <c r="N696" s="125"/>
      <c r="O696" s="125"/>
      <c r="P696" s="125"/>
      <c r="Q696" s="125"/>
      <c r="R696" s="125"/>
    </row>
    <row r="697" spans="1:18" ht="15.75" customHeight="1">
      <c r="A697" s="125"/>
      <c r="B697" s="125"/>
      <c r="C697" s="125"/>
      <c r="D697" s="125"/>
      <c r="E697" s="125"/>
      <c r="F697" s="125"/>
      <c r="G697" s="125"/>
      <c r="H697" s="125"/>
      <c r="I697" s="125"/>
      <c r="J697" s="125"/>
      <c r="K697" s="125"/>
      <c r="L697" s="125"/>
      <c r="M697" s="125"/>
      <c r="N697" s="125"/>
      <c r="O697" s="125"/>
      <c r="P697" s="125"/>
      <c r="Q697" s="125"/>
      <c r="R697" s="125"/>
    </row>
    <row r="698" spans="1:18" ht="15.75" customHeight="1">
      <c r="A698" s="125"/>
      <c r="B698" s="125"/>
      <c r="C698" s="125"/>
      <c r="D698" s="125"/>
      <c r="E698" s="125"/>
      <c r="F698" s="125"/>
      <c r="G698" s="125"/>
      <c r="H698" s="125"/>
      <c r="I698" s="125"/>
      <c r="J698" s="125"/>
      <c r="K698" s="125"/>
      <c r="L698" s="125"/>
      <c r="M698" s="125"/>
      <c r="N698" s="125"/>
      <c r="O698" s="125"/>
      <c r="P698" s="125"/>
      <c r="Q698" s="125"/>
      <c r="R698" s="125"/>
    </row>
    <row r="699" spans="1:18" ht="15.75" customHeight="1">
      <c r="A699" s="125"/>
      <c r="B699" s="125"/>
      <c r="C699" s="125"/>
      <c r="D699" s="125"/>
      <c r="E699" s="125"/>
      <c r="F699" s="125"/>
      <c r="G699" s="125"/>
      <c r="H699" s="125"/>
      <c r="I699" s="125"/>
      <c r="J699" s="125"/>
      <c r="K699" s="125"/>
      <c r="L699" s="125"/>
      <c r="M699" s="125"/>
      <c r="N699" s="125"/>
      <c r="O699" s="125"/>
      <c r="P699" s="125"/>
      <c r="Q699" s="125"/>
      <c r="R699" s="125"/>
    </row>
    <row r="700" spans="1:18" ht="15.75" customHeight="1">
      <c r="A700" s="125"/>
      <c r="B700" s="125"/>
      <c r="C700" s="125"/>
      <c r="D700" s="125"/>
      <c r="E700" s="125"/>
      <c r="F700" s="125"/>
      <c r="G700" s="125"/>
      <c r="H700" s="125"/>
      <c r="I700" s="125"/>
      <c r="J700" s="125"/>
      <c r="K700" s="125"/>
      <c r="L700" s="125"/>
      <c r="M700" s="125"/>
      <c r="N700" s="125"/>
      <c r="O700" s="125"/>
      <c r="P700" s="125"/>
      <c r="Q700" s="125"/>
      <c r="R700" s="125"/>
    </row>
    <row r="701" spans="1:18" ht="15.75" customHeight="1">
      <c r="A701" s="125"/>
      <c r="B701" s="125"/>
      <c r="C701" s="125"/>
      <c r="D701" s="125"/>
      <c r="E701" s="125"/>
      <c r="F701" s="125"/>
      <c r="G701" s="125"/>
      <c r="H701" s="125"/>
      <c r="I701" s="125"/>
      <c r="J701" s="125"/>
      <c r="K701" s="125"/>
      <c r="L701" s="125"/>
      <c r="M701" s="125"/>
      <c r="N701" s="125"/>
      <c r="O701" s="125"/>
      <c r="P701" s="125"/>
      <c r="Q701" s="125"/>
      <c r="R701" s="125"/>
    </row>
    <row r="702" spans="1:18" ht="15.75" customHeight="1">
      <c r="A702" s="125"/>
      <c r="B702" s="125"/>
      <c r="C702" s="125"/>
      <c r="D702" s="125"/>
      <c r="E702" s="125"/>
      <c r="F702" s="125"/>
      <c r="G702" s="125"/>
      <c r="H702" s="125"/>
      <c r="I702" s="125"/>
      <c r="J702" s="125"/>
      <c r="K702" s="125"/>
      <c r="L702" s="125"/>
      <c r="M702" s="125"/>
      <c r="N702" s="125"/>
      <c r="O702" s="125"/>
      <c r="P702" s="125"/>
      <c r="Q702" s="125"/>
      <c r="R702" s="125"/>
    </row>
    <row r="703" spans="1:18" ht="15.75" customHeight="1">
      <c r="A703" s="125"/>
      <c r="B703" s="125"/>
      <c r="C703" s="125"/>
      <c r="D703" s="125"/>
      <c r="E703" s="125"/>
      <c r="F703" s="125"/>
      <c r="G703" s="125"/>
      <c r="H703" s="125"/>
      <c r="I703" s="125"/>
      <c r="J703" s="125"/>
      <c r="K703" s="125"/>
      <c r="L703" s="125"/>
      <c r="M703" s="125"/>
      <c r="N703" s="125"/>
      <c r="O703" s="125"/>
      <c r="P703" s="125"/>
      <c r="Q703" s="125"/>
      <c r="R703" s="125"/>
    </row>
    <row r="704" spans="1:18" ht="15.75" customHeight="1">
      <c r="A704" s="125"/>
      <c r="B704" s="125"/>
      <c r="C704" s="125"/>
      <c r="D704" s="125"/>
      <c r="E704" s="125"/>
      <c r="F704" s="125"/>
      <c r="G704" s="125"/>
      <c r="H704" s="125"/>
      <c r="I704" s="125"/>
      <c r="J704" s="125"/>
      <c r="K704" s="125"/>
      <c r="L704" s="125"/>
      <c r="M704" s="125"/>
      <c r="N704" s="125"/>
      <c r="O704" s="125"/>
      <c r="P704" s="125"/>
      <c r="Q704" s="125"/>
      <c r="R704" s="125"/>
    </row>
    <row r="705" spans="1:18" ht="15.75" customHeight="1">
      <c r="A705" s="125"/>
      <c r="B705" s="125"/>
      <c r="C705" s="125"/>
      <c r="D705" s="125"/>
      <c r="E705" s="125"/>
      <c r="F705" s="125"/>
      <c r="G705" s="125"/>
      <c r="H705" s="125"/>
      <c r="I705" s="125"/>
      <c r="J705" s="125"/>
      <c r="K705" s="125"/>
      <c r="L705" s="125"/>
      <c r="M705" s="125"/>
      <c r="N705" s="125"/>
      <c r="O705" s="125"/>
      <c r="P705" s="125"/>
      <c r="Q705" s="125"/>
      <c r="R705" s="125"/>
    </row>
    <row r="706" spans="1:18" ht="15.75" customHeight="1">
      <c r="A706" s="125"/>
      <c r="B706" s="125"/>
      <c r="C706" s="125"/>
      <c r="D706" s="125"/>
      <c r="E706" s="125"/>
      <c r="F706" s="125"/>
      <c r="G706" s="125"/>
      <c r="H706" s="125"/>
      <c r="I706" s="125"/>
      <c r="J706" s="125"/>
      <c r="K706" s="125"/>
      <c r="L706" s="125"/>
      <c r="M706" s="125"/>
      <c r="N706" s="125"/>
      <c r="O706" s="125"/>
      <c r="P706" s="125"/>
      <c r="Q706" s="125"/>
      <c r="R706" s="125"/>
    </row>
    <row r="707" spans="1:18" ht="15.75" customHeight="1">
      <c r="A707" s="125"/>
      <c r="B707" s="125"/>
      <c r="C707" s="125"/>
      <c r="D707" s="125"/>
      <c r="E707" s="125"/>
      <c r="F707" s="125"/>
      <c r="G707" s="125"/>
      <c r="H707" s="125"/>
      <c r="I707" s="125"/>
      <c r="J707" s="125"/>
      <c r="K707" s="125"/>
      <c r="L707" s="125"/>
      <c r="M707" s="125"/>
      <c r="N707" s="125"/>
      <c r="O707" s="125"/>
      <c r="P707" s="125"/>
      <c r="Q707" s="125"/>
      <c r="R707" s="125"/>
    </row>
    <row r="708" spans="1:18" ht="15.75" customHeight="1">
      <c r="A708" s="125"/>
      <c r="B708" s="125"/>
      <c r="C708" s="125"/>
      <c r="D708" s="125"/>
      <c r="E708" s="125"/>
      <c r="F708" s="125"/>
      <c r="G708" s="125"/>
      <c r="H708" s="125"/>
      <c r="I708" s="125"/>
      <c r="J708" s="125"/>
      <c r="K708" s="125"/>
      <c r="L708" s="125"/>
      <c r="M708" s="125"/>
      <c r="N708" s="125"/>
      <c r="O708" s="125"/>
      <c r="P708" s="125"/>
      <c r="Q708" s="125"/>
      <c r="R708" s="125"/>
    </row>
    <row r="709" spans="1:18" ht="15.75" customHeight="1">
      <c r="A709" s="125"/>
      <c r="B709" s="125"/>
      <c r="C709" s="125"/>
      <c r="D709" s="125"/>
      <c r="E709" s="125"/>
      <c r="F709" s="125"/>
      <c r="G709" s="125"/>
      <c r="H709" s="125"/>
      <c r="I709" s="125"/>
      <c r="J709" s="125"/>
      <c r="K709" s="125"/>
      <c r="L709" s="125"/>
      <c r="M709" s="125"/>
      <c r="N709" s="125"/>
      <c r="O709" s="125"/>
      <c r="P709" s="125"/>
      <c r="Q709" s="125"/>
      <c r="R709" s="125"/>
    </row>
    <row r="710" spans="1:18" ht="15.75" customHeight="1">
      <c r="A710" s="125"/>
      <c r="B710" s="125"/>
      <c r="C710" s="125"/>
      <c r="D710" s="125"/>
      <c r="E710" s="125"/>
      <c r="F710" s="125"/>
      <c r="G710" s="125"/>
      <c r="H710" s="125"/>
      <c r="I710" s="125"/>
      <c r="J710" s="125"/>
      <c r="K710" s="125"/>
      <c r="L710" s="125"/>
      <c r="M710" s="125"/>
      <c r="N710" s="125"/>
      <c r="O710" s="125"/>
      <c r="P710" s="125"/>
      <c r="Q710" s="125"/>
      <c r="R710" s="125"/>
    </row>
    <row r="711" spans="1:18" ht="15.75" customHeight="1">
      <c r="A711" s="125"/>
      <c r="B711" s="125"/>
      <c r="C711" s="125"/>
      <c r="D711" s="125"/>
      <c r="E711" s="125"/>
      <c r="F711" s="125"/>
      <c r="G711" s="125"/>
      <c r="H711" s="125"/>
      <c r="I711" s="125"/>
      <c r="J711" s="125"/>
      <c r="K711" s="125"/>
      <c r="L711" s="125"/>
      <c r="M711" s="125"/>
      <c r="N711" s="125"/>
      <c r="O711" s="125"/>
      <c r="P711" s="125"/>
      <c r="Q711" s="125"/>
      <c r="R711" s="125"/>
    </row>
    <row r="712" spans="1:18" ht="15.75" customHeight="1">
      <c r="A712" s="125"/>
      <c r="B712" s="125"/>
      <c r="C712" s="125"/>
      <c r="D712" s="125"/>
      <c r="E712" s="125"/>
      <c r="F712" s="125"/>
      <c r="G712" s="125"/>
      <c r="H712" s="125"/>
      <c r="I712" s="125"/>
      <c r="J712" s="125"/>
      <c r="K712" s="125"/>
      <c r="L712" s="125"/>
      <c r="M712" s="125"/>
      <c r="N712" s="125"/>
      <c r="O712" s="125"/>
      <c r="P712" s="125"/>
      <c r="Q712" s="125"/>
      <c r="R712" s="125"/>
    </row>
    <row r="713" spans="1:18" ht="15.75" customHeight="1">
      <c r="A713" s="125"/>
      <c r="B713" s="125"/>
      <c r="C713" s="125"/>
      <c r="D713" s="125"/>
      <c r="E713" s="125"/>
      <c r="F713" s="125"/>
      <c r="G713" s="125"/>
      <c r="H713" s="125"/>
      <c r="I713" s="125"/>
      <c r="J713" s="125"/>
      <c r="K713" s="125"/>
      <c r="L713" s="125"/>
      <c r="M713" s="125"/>
      <c r="N713" s="125"/>
      <c r="O713" s="125"/>
      <c r="P713" s="125"/>
      <c r="Q713" s="125"/>
      <c r="R713" s="125"/>
    </row>
    <row r="714" spans="1:18" ht="15.75" customHeight="1">
      <c r="A714" s="125"/>
      <c r="B714" s="125"/>
      <c r="C714" s="125"/>
      <c r="D714" s="125"/>
      <c r="E714" s="125"/>
      <c r="F714" s="125"/>
      <c r="G714" s="125"/>
      <c r="H714" s="125"/>
      <c r="I714" s="125"/>
      <c r="J714" s="125"/>
      <c r="K714" s="125"/>
      <c r="L714" s="125"/>
      <c r="M714" s="125"/>
      <c r="N714" s="125"/>
      <c r="O714" s="125"/>
      <c r="P714" s="125"/>
      <c r="Q714" s="125"/>
      <c r="R714" s="125"/>
    </row>
    <row r="715" spans="1:18" ht="15.75" customHeight="1">
      <c r="A715" s="125"/>
      <c r="B715" s="125"/>
      <c r="C715" s="125"/>
      <c r="D715" s="125"/>
      <c r="E715" s="125"/>
      <c r="F715" s="125"/>
      <c r="G715" s="125"/>
      <c r="H715" s="125"/>
      <c r="I715" s="125"/>
      <c r="J715" s="125"/>
      <c r="K715" s="125"/>
      <c r="L715" s="125"/>
      <c r="M715" s="125"/>
      <c r="N715" s="125"/>
      <c r="O715" s="125"/>
      <c r="P715" s="125"/>
      <c r="Q715" s="125"/>
      <c r="R715" s="125"/>
    </row>
    <row r="716" spans="1:18" ht="15.75" customHeight="1">
      <c r="A716" s="125"/>
      <c r="B716" s="125"/>
      <c r="C716" s="125"/>
      <c r="D716" s="125"/>
      <c r="E716" s="125"/>
      <c r="F716" s="125"/>
      <c r="G716" s="125"/>
      <c r="H716" s="125"/>
      <c r="I716" s="125"/>
      <c r="J716" s="125"/>
      <c r="K716" s="125"/>
      <c r="L716" s="125"/>
      <c r="M716" s="125"/>
      <c r="N716" s="125"/>
      <c r="O716" s="125"/>
      <c r="P716" s="125"/>
      <c r="Q716" s="125"/>
      <c r="R716" s="125"/>
    </row>
    <row r="717" spans="1:18" ht="15.75" customHeight="1">
      <c r="A717" s="125"/>
      <c r="B717" s="125"/>
      <c r="C717" s="125"/>
      <c r="D717" s="125"/>
      <c r="E717" s="125"/>
      <c r="F717" s="125"/>
      <c r="G717" s="125"/>
      <c r="H717" s="125"/>
      <c r="I717" s="125"/>
      <c r="J717" s="125"/>
      <c r="K717" s="125"/>
      <c r="L717" s="125"/>
      <c r="M717" s="125"/>
      <c r="N717" s="125"/>
      <c r="O717" s="125"/>
      <c r="P717" s="125"/>
      <c r="Q717" s="125"/>
      <c r="R717" s="125"/>
    </row>
    <row r="718" spans="1:18" ht="15.75" customHeight="1">
      <c r="A718" s="125"/>
      <c r="B718" s="125"/>
      <c r="C718" s="125"/>
      <c r="D718" s="125"/>
      <c r="E718" s="125"/>
      <c r="F718" s="125"/>
      <c r="G718" s="125"/>
      <c r="H718" s="125"/>
      <c r="I718" s="125"/>
      <c r="J718" s="125"/>
      <c r="K718" s="125"/>
      <c r="L718" s="125"/>
      <c r="M718" s="125"/>
      <c r="N718" s="125"/>
      <c r="O718" s="125"/>
      <c r="P718" s="125"/>
      <c r="Q718" s="125"/>
      <c r="R718" s="125"/>
    </row>
    <row r="719" spans="1:18" ht="15.75" customHeight="1">
      <c r="A719" s="125"/>
      <c r="B719" s="125"/>
      <c r="C719" s="125"/>
      <c r="D719" s="125"/>
      <c r="E719" s="125"/>
      <c r="F719" s="125"/>
      <c r="G719" s="125"/>
      <c r="H719" s="125"/>
      <c r="I719" s="125"/>
      <c r="J719" s="125"/>
      <c r="K719" s="125"/>
      <c r="L719" s="125"/>
      <c r="M719" s="125"/>
      <c r="N719" s="125"/>
      <c r="O719" s="125"/>
      <c r="P719" s="125"/>
      <c r="Q719" s="125"/>
      <c r="R719" s="125"/>
    </row>
    <row r="720" spans="1:18" ht="15.75" customHeight="1">
      <c r="A720" s="125"/>
      <c r="B720" s="125"/>
      <c r="C720" s="125"/>
      <c r="D720" s="125"/>
      <c r="E720" s="125"/>
      <c r="F720" s="125"/>
      <c r="G720" s="125"/>
      <c r="H720" s="125"/>
      <c r="I720" s="125"/>
      <c r="J720" s="125"/>
      <c r="K720" s="125"/>
      <c r="L720" s="125"/>
      <c r="M720" s="125"/>
      <c r="N720" s="125"/>
      <c r="O720" s="125"/>
      <c r="P720" s="125"/>
      <c r="Q720" s="125"/>
      <c r="R720" s="125"/>
    </row>
    <row r="721" spans="1:18" ht="15.75" customHeight="1">
      <c r="A721" s="125"/>
      <c r="B721" s="125"/>
      <c r="C721" s="125"/>
      <c r="D721" s="125"/>
      <c r="E721" s="125"/>
      <c r="F721" s="125"/>
      <c r="G721" s="125"/>
      <c r="H721" s="125"/>
      <c r="I721" s="125"/>
      <c r="J721" s="125"/>
      <c r="K721" s="125"/>
      <c r="L721" s="125"/>
      <c r="M721" s="125"/>
      <c r="N721" s="125"/>
      <c r="O721" s="125"/>
      <c r="P721" s="125"/>
      <c r="Q721" s="125"/>
      <c r="R721" s="125"/>
    </row>
    <row r="722" spans="1:18" ht="15.75" customHeight="1">
      <c r="A722" s="125"/>
      <c r="B722" s="125"/>
      <c r="C722" s="125"/>
      <c r="D722" s="125"/>
      <c r="E722" s="125"/>
      <c r="F722" s="125"/>
      <c r="G722" s="125"/>
      <c r="H722" s="125"/>
      <c r="I722" s="125"/>
      <c r="J722" s="125"/>
      <c r="K722" s="125"/>
      <c r="L722" s="125"/>
      <c r="M722" s="125"/>
      <c r="N722" s="125"/>
      <c r="O722" s="125"/>
      <c r="P722" s="125"/>
      <c r="Q722" s="125"/>
      <c r="R722" s="125"/>
    </row>
    <row r="723" spans="1:18" ht="15.75" customHeight="1">
      <c r="A723" s="125"/>
      <c r="B723" s="125"/>
      <c r="C723" s="125"/>
      <c r="D723" s="125"/>
      <c r="E723" s="125"/>
      <c r="F723" s="125"/>
      <c r="G723" s="125"/>
      <c r="H723" s="125"/>
      <c r="I723" s="125"/>
      <c r="J723" s="125"/>
      <c r="K723" s="125"/>
      <c r="L723" s="125"/>
      <c r="M723" s="125"/>
      <c r="N723" s="125"/>
      <c r="O723" s="125"/>
      <c r="P723" s="125"/>
      <c r="Q723" s="125"/>
      <c r="R723" s="125"/>
    </row>
    <row r="724" spans="1:18" ht="15.75" customHeight="1">
      <c r="A724" s="125"/>
      <c r="B724" s="125"/>
      <c r="C724" s="125"/>
      <c r="D724" s="125"/>
      <c r="E724" s="125"/>
      <c r="F724" s="125"/>
      <c r="G724" s="125"/>
      <c r="H724" s="125"/>
      <c r="I724" s="125"/>
      <c r="J724" s="125"/>
      <c r="K724" s="125"/>
      <c r="L724" s="125"/>
      <c r="M724" s="125"/>
      <c r="N724" s="125"/>
      <c r="O724" s="125"/>
      <c r="P724" s="125"/>
      <c r="Q724" s="125"/>
      <c r="R724" s="125"/>
    </row>
    <row r="725" spans="1:18" ht="15.75" customHeight="1">
      <c r="A725" s="125"/>
      <c r="B725" s="125"/>
      <c r="C725" s="125"/>
      <c r="D725" s="125"/>
      <c r="E725" s="125"/>
      <c r="F725" s="125"/>
      <c r="G725" s="125"/>
      <c r="H725" s="125"/>
      <c r="I725" s="125"/>
      <c r="J725" s="125"/>
      <c r="K725" s="125"/>
      <c r="L725" s="125"/>
      <c r="M725" s="125"/>
      <c r="N725" s="125"/>
      <c r="O725" s="125"/>
      <c r="P725" s="125"/>
      <c r="Q725" s="125"/>
      <c r="R725" s="125"/>
    </row>
    <row r="726" spans="1:18" ht="15.75" customHeight="1">
      <c r="A726" s="125"/>
      <c r="B726" s="125"/>
      <c r="C726" s="125"/>
      <c r="D726" s="125"/>
      <c r="E726" s="125"/>
      <c r="F726" s="125"/>
      <c r="G726" s="125"/>
      <c r="H726" s="125"/>
      <c r="I726" s="125"/>
      <c r="J726" s="125"/>
      <c r="K726" s="125"/>
      <c r="L726" s="125"/>
      <c r="M726" s="125"/>
      <c r="N726" s="125"/>
      <c r="O726" s="125"/>
      <c r="P726" s="125"/>
      <c r="Q726" s="125"/>
      <c r="R726" s="125"/>
    </row>
    <row r="727" spans="1:18" ht="15.75" customHeight="1">
      <c r="A727" s="125"/>
      <c r="B727" s="125"/>
      <c r="C727" s="125"/>
      <c r="D727" s="125"/>
      <c r="E727" s="125"/>
      <c r="F727" s="125"/>
      <c r="G727" s="125"/>
      <c r="H727" s="125"/>
      <c r="I727" s="125"/>
      <c r="J727" s="125"/>
      <c r="K727" s="125"/>
      <c r="L727" s="125"/>
      <c r="M727" s="125"/>
      <c r="N727" s="125"/>
      <c r="O727" s="125"/>
      <c r="P727" s="125"/>
      <c r="Q727" s="125"/>
      <c r="R727" s="125"/>
    </row>
    <row r="728" spans="1:18" ht="15.75" customHeight="1">
      <c r="A728" s="125"/>
      <c r="B728" s="125"/>
      <c r="C728" s="125"/>
      <c r="D728" s="125"/>
      <c r="E728" s="125"/>
      <c r="F728" s="125"/>
      <c r="G728" s="125"/>
      <c r="H728" s="125"/>
      <c r="I728" s="125"/>
      <c r="J728" s="125"/>
      <c r="K728" s="125"/>
      <c r="L728" s="125"/>
      <c r="M728" s="125"/>
      <c r="N728" s="125"/>
      <c r="O728" s="125"/>
      <c r="P728" s="125"/>
      <c r="Q728" s="125"/>
      <c r="R728" s="125"/>
    </row>
    <row r="729" spans="1:18" ht="15.75" customHeight="1">
      <c r="A729" s="125"/>
      <c r="B729" s="125"/>
      <c r="C729" s="125"/>
      <c r="D729" s="125"/>
      <c r="E729" s="125"/>
      <c r="F729" s="125"/>
      <c r="G729" s="125"/>
      <c r="H729" s="125"/>
      <c r="I729" s="125"/>
      <c r="J729" s="125"/>
      <c r="K729" s="125"/>
      <c r="L729" s="125"/>
      <c r="M729" s="125"/>
      <c r="N729" s="125"/>
      <c r="O729" s="125"/>
      <c r="P729" s="125"/>
      <c r="Q729" s="125"/>
      <c r="R729" s="125"/>
    </row>
    <row r="730" spans="1:18" ht="15.75" customHeight="1">
      <c r="A730" s="125"/>
      <c r="B730" s="125"/>
      <c r="C730" s="125"/>
      <c r="D730" s="125"/>
      <c r="E730" s="125"/>
      <c r="F730" s="125"/>
      <c r="G730" s="125"/>
      <c r="H730" s="125"/>
      <c r="I730" s="125"/>
      <c r="J730" s="125"/>
      <c r="K730" s="125"/>
      <c r="L730" s="125"/>
      <c r="M730" s="125"/>
      <c r="N730" s="125"/>
      <c r="O730" s="125"/>
      <c r="P730" s="125"/>
      <c r="Q730" s="125"/>
      <c r="R730" s="125"/>
    </row>
    <row r="731" spans="1:18" ht="15.75" customHeight="1">
      <c r="A731" s="125"/>
      <c r="B731" s="125"/>
      <c r="C731" s="125"/>
      <c r="D731" s="125"/>
      <c r="E731" s="125"/>
      <c r="F731" s="125"/>
      <c r="G731" s="125"/>
      <c r="H731" s="125"/>
      <c r="I731" s="125"/>
      <c r="J731" s="125"/>
      <c r="K731" s="125"/>
      <c r="L731" s="125"/>
      <c r="M731" s="125"/>
      <c r="N731" s="125"/>
      <c r="O731" s="125"/>
      <c r="P731" s="125"/>
      <c r="Q731" s="125"/>
      <c r="R731" s="125"/>
    </row>
    <row r="732" spans="1:18" ht="15.75" customHeight="1">
      <c r="A732" s="125"/>
      <c r="B732" s="125"/>
      <c r="C732" s="125"/>
      <c r="D732" s="125"/>
      <c r="E732" s="125"/>
      <c r="F732" s="125"/>
      <c r="G732" s="125"/>
      <c r="H732" s="125"/>
      <c r="I732" s="125"/>
      <c r="J732" s="125"/>
      <c r="K732" s="125"/>
      <c r="L732" s="125"/>
      <c r="M732" s="125"/>
      <c r="N732" s="125"/>
      <c r="O732" s="125"/>
      <c r="P732" s="125"/>
      <c r="Q732" s="125"/>
      <c r="R732" s="125"/>
    </row>
    <row r="733" spans="1:18" ht="15.75" customHeight="1">
      <c r="A733" s="125"/>
      <c r="B733" s="125"/>
      <c r="C733" s="125"/>
      <c r="D733" s="125"/>
      <c r="E733" s="125"/>
      <c r="F733" s="125"/>
      <c r="G733" s="125"/>
      <c r="H733" s="125"/>
      <c r="I733" s="125"/>
      <c r="J733" s="125"/>
      <c r="K733" s="125"/>
      <c r="L733" s="125"/>
      <c r="M733" s="125"/>
      <c r="N733" s="125"/>
      <c r="O733" s="125"/>
      <c r="P733" s="125"/>
      <c r="Q733" s="125"/>
      <c r="R733" s="125"/>
    </row>
    <row r="734" spans="1:18" ht="15.75" customHeight="1">
      <c r="A734" s="125"/>
      <c r="B734" s="125"/>
      <c r="C734" s="125"/>
      <c r="D734" s="125"/>
      <c r="E734" s="125"/>
      <c r="F734" s="125"/>
      <c r="G734" s="125"/>
      <c r="H734" s="125"/>
      <c r="I734" s="125"/>
      <c r="J734" s="125"/>
      <c r="K734" s="125"/>
      <c r="L734" s="125"/>
      <c r="M734" s="125"/>
      <c r="N734" s="125"/>
      <c r="O734" s="125"/>
      <c r="P734" s="125"/>
      <c r="Q734" s="125"/>
      <c r="R734" s="125"/>
    </row>
    <row r="735" spans="1:18" ht="15.75" customHeight="1">
      <c r="A735" s="125"/>
      <c r="B735" s="125"/>
      <c r="C735" s="125"/>
      <c r="D735" s="125"/>
      <c r="E735" s="125"/>
      <c r="F735" s="125"/>
      <c r="G735" s="125"/>
      <c r="H735" s="125"/>
      <c r="I735" s="125"/>
      <c r="J735" s="125"/>
      <c r="K735" s="125"/>
      <c r="L735" s="125"/>
      <c r="M735" s="125"/>
      <c r="N735" s="125"/>
      <c r="O735" s="125"/>
      <c r="P735" s="125"/>
      <c r="Q735" s="125"/>
      <c r="R735" s="125"/>
    </row>
    <row r="736" spans="1:18" ht="15.75" customHeight="1">
      <c r="A736" s="125"/>
      <c r="B736" s="125"/>
      <c r="C736" s="125"/>
      <c r="D736" s="125"/>
      <c r="E736" s="125"/>
      <c r="F736" s="125"/>
      <c r="G736" s="125"/>
      <c r="H736" s="125"/>
      <c r="I736" s="125"/>
      <c r="J736" s="125"/>
      <c r="K736" s="125"/>
      <c r="L736" s="125"/>
      <c r="M736" s="125"/>
      <c r="N736" s="125"/>
      <c r="O736" s="125"/>
      <c r="P736" s="125"/>
      <c r="Q736" s="125"/>
      <c r="R736" s="125"/>
    </row>
    <row r="737" spans="1:18" ht="15.75" customHeight="1">
      <c r="A737" s="125"/>
      <c r="B737" s="125"/>
      <c r="C737" s="125"/>
      <c r="D737" s="125"/>
      <c r="E737" s="125"/>
      <c r="F737" s="125"/>
      <c r="G737" s="125"/>
      <c r="H737" s="125"/>
      <c r="I737" s="125"/>
      <c r="J737" s="125"/>
      <c r="K737" s="125"/>
      <c r="L737" s="125"/>
      <c r="M737" s="125"/>
      <c r="N737" s="125"/>
      <c r="O737" s="125"/>
      <c r="P737" s="125"/>
      <c r="Q737" s="125"/>
      <c r="R737" s="125"/>
    </row>
    <row r="738" spans="1:18" ht="15.75" customHeight="1">
      <c r="A738" s="125"/>
      <c r="B738" s="125"/>
      <c r="C738" s="125"/>
      <c r="D738" s="125"/>
      <c r="E738" s="125"/>
      <c r="F738" s="125"/>
      <c r="G738" s="125"/>
      <c r="H738" s="125"/>
      <c r="I738" s="125"/>
      <c r="J738" s="125"/>
      <c r="K738" s="125"/>
      <c r="L738" s="125"/>
      <c r="M738" s="125"/>
      <c r="N738" s="125"/>
      <c r="O738" s="125"/>
      <c r="P738" s="125"/>
      <c r="Q738" s="125"/>
      <c r="R738" s="125"/>
    </row>
    <row r="739" spans="1:18" ht="15.75" customHeight="1">
      <c r="A739" s="125"/>
      <c r="B739" s="125"/>
      <c r="C739" s="125"/>
      <c r="D739" s="125"/>
      <c r="E739" s="125"/>
      <c r="F739" s="125"/>
      <c r="G739" s="125"/>
      <c r="H739" s="125"/>
      <c r="I739" s="125"/>
      <c r="J739" s="125"/>
      <c r="K739" s="125"/>
      <c r="L739" s="125"/>
      <c r="M739" s="125"/>
      <c r="N739" s="125"/>
      <c r="O739" s="125"/>
      <c r="P739" s="125"/>
      <c r="Q739" s="125"/>
      <c r="R739" s="125"/>
    </row>
    <row r="740" spans="1:18" ht="15.75" customHeight="1">
      <c r="A740" s="125"/>
      <c r="B740" s="125"/>
      <c r="C740" s="125"/>
      <c r="D740" s="125"/>
      <c r="E740" s="125"/>
      <c r="F740" s="125"/>
      <c r="G740" s="125"/>
      <c r="H740" s="125"/>
      <c r="I740" s="125"/>
      <c r="J740" s="125"/>
      <c r="K740" s="125"/>
      <c r="L740" s="125"/>
      <c r="M740" s="125"/>
      <c r="N740" s="125"/>
      <c r="O740" s="125"/>
      <c r="P740" s="125"/>
      <c r="Q740" s="125"/>
      <c r="R740" s="125"/>
    </row>
    <row r="741" spans="1:18" ht="15.75" customHeight="1">
      <c r="A741" s="125"/>
      <c r="B741" s="125"/>
      <c r="C741" s="125"/>
      <c r="D741" s="125"/>
      <c r="E741" s="125"/>
      <c r="F741" s="125"/>
      <c r="G741" s="125"/>
      <c r="H741" s="125"/>
      <c r="I741" s="125"/>
      <c r="J741" s="125"/>
      <c r="K741" s="125"/>
      <c r="L741" s="125"/>
      <c r="M741" s="125"/>
      <c r="N741" s="125"/>
      <c r="O741" s="125"/>
      <c r="P741" s="125"/>
      <c r="Q741" s="125"/>
      <c r="R741" s="125"/>
    </row>
    <row r="742" spans="1:18" ht="15.75" customHeight="1">
      <c r="A742" s="125"/>
      <c r="B742" s="125"/>
      <c r="C742" s="125"/>
      <c r="D742" s="125"/>
      <c r="E742" s="125"/>
      <c r="F742" s="125"/>
      <c r="G742" s="125"/>
      <c r="H742" s="125"/>
      <c r="I742" s="125"/>
      <c r="J742" s="125"/>
      <c r="K742" s="125"/>
      <c r="L742" s="125"/>
      <c r="M742" s="125"/>
      <c r="N742" s="125"/>
      <c r="O742" s="125"/>
      <c r="P742" s="125"/>
      <c r="Q742" s="125"/>
      <c r="R742" s="125"/>
    </row>
    <row r="743" spans="1:18" ht="15.75" customHeight="1">
      <c r="A743" s="125"/>
      <c r="B743" s="125"/>
      <c r="C743" s="125"/>
      <c r="D743" s="125"/>
      <c r="E743" s="125"/>
      <c r="F743" s="125"/>
      <c r="G743" s="125"/>
      <c r="H743" s="125"/>
      <c r="I743" s="125"/>
      <c r="J743" s="125"/>
      <c r="K743" s="125"/>
      <c r="L743" s="125"/>
      <c r="M743" s="125"/>
      <c r="N743" s="125"/>
      <c r="O743" s="125"/>
      <c r="P743" s="125"/>
      <c r="Q743" s="125"/>
      <c r="R743" s="125"/>
    </row>
    <row r="744" spans="1:18" ht="15.75" customHeight="1">
      <c r="A744" s="125"/>
      <c r="B744" s="125"/>
      <c r="C744" s="125"/>
      <c r="D744" s="125"/>
      <c r="E744" s="125"/>
      <c r="F744" s="125"/>
      <c r="G744" s="125"/>
      <c r="H744" s="125"/>
      <c r="I744" s="125"/>
      <c r="J744" s="125"/>
      <c r="K744" s="125"/>
      <c r="L744" s="125"/>
      <c r="M744" s="125"/>
      <c r="N744" s="125"/>
      <c r="O744" s="125"/>
      <c r="P744" s="125"/>
      <c r="Q744" s="125"/>
      <c r="R744" s="125"/>
    </row>
    <row r="745" spans="1:18" ht="15.75" customHeight="1">
      <c r="A745" s="125"/>
      <c r="B745" s="125"/>
      <c r="C745" s="125"/>
      <c r="D745" s="125"/>
      <c r="E745" s="125"/>
      <c r="F745" s="125"/>
      <c r="G745" s="125"/>
      <c r="H745" s="125"/>
      <c r="I745" s="125"/>
      <c r="J745" s="125"/>
      <c r="K745" s="125"/>
      <c r="L745" s="125"/>
      <c r="M745" s="125"/>
      <c r="N745" s="125"/>
      <c r="O745" s="125"/>
      <c r="P745" s="125"/>
      <c r="Q745" s="125"/>
      <c r="R745" s="125"/>
    </row>
    <row r="746" spans="1:18" ht="15.75" customHeight="1">
      <c r="A746" s="125"/>
      <c r="B746" s="125"/>
      <c r="C746" s="125"/>
      <c r="D746" s="125"/>
      <c r="E746" s="125"/>
      <c r="F746" s="125"/>
      <c r="G746" s="125"/>
      <c r="H746" s="125"/>
      <c r="I746" s="125"/>
      <c r="J746" s="125"/>
      <c r="K746" s="125"/>
      <c r="L746" s="125"/>
      <c r="M746" s="125"/>
      <c r="N746" s="125"/>
      <c r="O746" s="125"/>
      <c r="P746" s="125"/>
      <c r="Q746" s="125"/>
      <c r="R746" s="125"/>
    </row>
    <row r="747" spans="1:18" ht="15.75" customHeight="1">
      <c r="A747" s="125"/>
      <c r="B747" s="125"/>
      <c r="C747" s="125"/>
      <c r="D747" s="125"/>
      <c r="E747" s="125"/>
      <c r="F747" s="125"/>
      <c r="G747" s="125"/>
      <c r="H747" s="125"/>
      <c r="I747" s="125"/>
      <c r="J747" s="125"/>
      <c r="K747" s="125"/>
      <c r="L747" s="125"/>
      <c r="M747" s="125"/>
      <c r="N747" s="125"/>
      <c r="O747" s="125"/>
      <c r="P747" s="125"/>
      <c r="Q747" s="125"/>
      <c r="R747" s="125"/>
    </row>
    <row r="748" spans="1:18" ht="15.75" customHeight="1">
      <c r="A748" s="125"/>
      <c r="B748" s="125"/>
      <c r="C748" s="125"/>
      <c r="D748" s="125"/>
      <c r="E748" s="125"/>
      <c r="F748" s="125"/>
      <c r="G748" s="125"/>
      <c r="H748" s="125"/>
      <c r="I748" s="125"/>
      <c r="J748" s="125"/>
      <c r="K748" s="125"/>
      <c r="L748" s="125"/>
      <c r="M748" s="125"/>
      <c r="N748" s="125"/>
      <c r="O748" s="125"/>
      <c r="P748" s="125"/>
      <c r="Q748" s="125"/>
      <c r="R748" s="125"/>
    </row>
    <row r="749" spans="1:18" ht="15.75" customHeight="1">
      <c r="A749" s="125"/>
      <c r="B749" s="125"/>
      <c r="C749" s="125"/>
      <c r="D749" s="125"/>
      <c r="E749" s="125"/>
      <c r="F749" s="125"/>
      <c r="G749" s="125"/>
      <c r="H749" s="125"/>
      <c r="I749" s="125"/>
      <c r="J749" s="125"/>
      <c r="K749" s="125"/>
      <c r="L749" s="125"/>
      <c r="M749" s="125"/>
      <c r="N749" s="125"/>
      <c r="O749" s="125"/>
      <c r="P749" s="125"/>
      <c r="Q749" s="125"/>
      <c r="R749" s="125"/>
    </row>
    <row r="750" spans="1:18" ht="15.75" customHeight="1">
      <c r="A750" s="125"/>
      <c r="B750" s="125"/>
      <c r="C750" s="125"/>
      <c r="D750" s="125"/>
      <c r="E750" s="125"/>
      <c r="F750" s="125"/>
      <c r="G750" s="125"/>
      <c r="H750" s="125"/>
      <c r="I750" s="125"/>
      <c r="J750" s="125"/>
      <c r="K750" s="125"/>
      <c r="L750" s="125"/>
      <c r="M750" s="125"/>
      <c r="N750" s="125"/>
      <c r="O750" s="125"/>
      <c r="P750" s="125"/>
      <c r="Q750" s="125"/>
      <c r="R750" s="125"/>
    </row>
    <row r="751" spans="1:18" ht="15.75" customHeight="1">
      <c r="A751" s="125"/>
      <c r="B751" s="125"/>
      <c r="C751" s="125"/>
      <c r="D751" s="125"/>
      <c r="E751" s="125"/>
      <c r="F751" s="125"/>
      <c r="G751" s="125"/>
      <c r="H751" s="125"/>
      <c r="I751" s="125"/>
      <c r="J751" s="125"/>
      <c r="K751" s="125"/>
      <c r="L751" s="125"/>
      <c r="M751" s="125"/>
      <c r="N751" s="125"/>
      <c r="O751" s="125"/>
      <c r="P751" s="125"/>
      <c r="Q751" s="125"/>
      <c r="R751" s="125"/>
    </row>
    <row r="752" spans="1:18" ht="15.75" customHeight="1">
      <c r="A752" s="125"/>
      <c r="B752" s="125"/>
      <c r="C752" s="125"/>
      <c r="D752" s="125"/>
      <c r="E752" s="125"/>
      <c r="F752" s="125"/>
      <c r="G752" s="125"/>
      <c r="H752" s="125"/>
      <c r="I752" s="125"/>
      <c r="J752" s="125"/>
      <c r="K752" s="125"/>
      <c r="L752" s="125"/>
      <c r="M752" s="125"/>
      <c r="N752" s="125"/>
      <c r="O752" s="125"/>
      <c r="P752" s="125"/>
      <c r="Q752" s="125"/>
      <c r="R752" s="125"/>
    </row>
    <row r="753" spans="1:18" ht="15.75" customHeight="1">
      <c r="A753" s="125"/>
      <c r="B753" s="125"/>
      <c r="C753" s="125"/>
      <c r="D753" s="125"/>
      <c r="E753" s="125"/>
      <c r="F753" s="125"/>
      <c r="G753" s="125"/>
      <c r="H753" s="125"/>
      <c r="I753" s="125"/>
      <c r="J753" s="125"/>
      <c r="K753" s="125"/>
      <c r="L753" s="125"/>
      <c r="M753" s="125"/>
      <c r="N753" s="125"/>
      <c r="O753" s="125"/>
      <c r="P753" s="125"/>
      <c r="Q753" s="125"/>
      <c r="R753" s="125"/>
    </row>
    <row r="754" spans="1:18" ht="15.75" customHeight="1">
      <c r="A754" s="125"/>
      <c r="B754" s="125"/>
      <c r="C754" s="125"/>
      <c r="D754" s="125"/>
      <c r="E754" s="125"/>
      <c r="F754" s="125"/>
      <c r="G754" s="125"/>
      <c r="H754" s="125"/>
      <c r="I754" s="125"/>
      <c r="J754" s="125"/>
      <c r="K754" s="125"/>
      <c r="L754" s="125"/>
      <c r="M754" s="125"/>
      <c r="N754" s="125"/>
      <c r="O754" s="125"/>
      <c r="P754" s="125"/>
      <c r="Q754" s="125"/>
      <c r="R754" s="125"/>
    </row>
    <row r="755" spans="1:18" ht="15.75" customHeight="1">
      <c r="A755" s="125"/>
      <c r="B755" s="125"/>
      <c r="C755" s="125"/>
      <c r="D755" s="125"/>
      <c r="E755" s="125"/>
      <c r="F755" s="125"/>
      <c r="G755" s="125"/>
      <c r="H755" s="125"/>
      <c r="I755" s="125"/>
      <c r="J755" s="125"/>
      <c r="K755" s="125"/>
      <c r="L755" s="125"/>
      <c r="M755" s="125"/>
      <c r="N755" s="125"/>
      <c r="O755" s="125"/>
      <c r="P755" s="125"/>
      <c r="Q755" s="125"/>
      <c r="R755" s="125"/>
    </row>
    <row r="756" spans="1:18" ht="15.75" customHeight="1">
      <c r="A756" s="125"/>
      <c r="B756" s="125"/>
      <c r="C756" s="125"/>
      <c r="D756" s="125"/>
      <c r="E756" s="125"/>
      <c r="F756" s="125"/>
      <c r="G756" s="125"/>
      <c r="H756" s="125"/>
      <c r="I756" s="125"/>
      <c r="J756" s="125"/>
      <c r="K756" s="125"/>
      <c r="L756" s="125"/>
      <c r="M756" s="125"/>
      <c r="N756" s="125"/>
      <c r="O756" s="125"/>
      <c r="P756" s="125"/>
      <c r="Q756" s="125"/>
      <c r="R756" s="125"/>
    </row>
    <row r="757" spans="1:18" ht="15.75" customHeight="1">
      <c r="A757" s="125"/>
      <c r="B757" s="125"/>
      <c r="C757" s="125"/>
      <c r="D757" s="125"/>
      <c r="E757" s="125"/>
      <c r="F757" s="125"/>
      <c r="G757" s="125"/>
      <c r="H757" s="125"/>
      <c r="I757" s="125"/>
      <c r="J757" s="125"/>
      <c r="K757" s="125"/>
      <c r="L757" s="125"/>
      <c r="M757" s="125"/>
      <c r="N757" s="125"/>
      <c r="O757" s="125"/>
      <c r="P757" s="125"/>
      <c r="Q757" s="125"/>
      <c r="R757" s="125"/>
    </row>
    <row r="758" spans="1:18" ht="15.75" customHeight="1">
      <c r="A758" s="125"/>
      <c r="B758" s="125"/>
      <c r="C758" s="125"/>
      <c r="D758" s="125"/>
      <c r="E758" s="125"/>
      <c r="F758" s="125"/>
      <c r="G758" s="125"/>
      <c r="H758" s="125"/>
      <c r="I758" s="125"/>
      <c r="J758" s="125"/>
      <c r="K758" s="125"/>
      <c r="L758" s="125"/>
      <c r="M758" s="125"/>
      <c r="N758" s="125"/>
      <c r="O758" s="125"/>
      <c r="P758" s="125"/>
      <c r="Q758" s="125"/>
      <c r="R758" s="125"/>
    </row>
    <row r="759" spans="1:18" ht="15.75" customHeight="1">
      <c r="A759" s="125"/>
      <c r="B759" s="125"/>
      <c r="C759" s="125"/>
      <c r="D759" s="125"/>
      <c r="E759" s="125"/>
      <c r="F759" s="125"/>
      <c r="G759" s="125"/>
      <c r="H759" s="125"/>
      <c r="I759" s="125"/>
      <c r="J759" s="125"/>
      <c r="K759" s="125"/>
      <c r="L759" s="125"/>
      <c r="M759" s="125"/>
      <c r="N759" s="125"/>
      <c r="O759" s="125"/>
      <c r="P759" s="125"/>
      <c r="Q759" s="125"/>
      <c r="R759" s="125"/>
    </row>
    <row r="760" spans="1:18" ht="15.75" customHeight="1">
      <c r="A760" s="125"/>
      <c r="B760" s="125"/>
      <c r="C760" s="125"/>
      <c r="D760" s="125"/>
      <c r="E760" s="125"/>
      <c r="F760" s="125"/>
      <c r="G760" s="125"/>
      <c r="H760" s="125"/>
      <c r="I760" s="125"/>
      <c r="J760" s="125"/>
      <c r="K760" s="125"/>
      <c r="L760" s="125"/>
      <c r="M760" s="125"/>
      <c r="N760" s="125"/>
      <c r="O760" s="125"/>
      <c r="P760" s="125"/>
      <c r="Q760" s="125"/>
      <c r="R760" s="125"/>
    </row>
    <row r="761" spans="1:18" ht="15.75" customHeight="1">
      <c r="A761" s="125"/>
      <c r="B761" s="125"/>
      <c r="C761" s="125"/>
      <c r="D761" s="125"/>
      <c r="E761" s="125"/>
      <c r="F761" s="125"/>
      <c r="G761" s="125"/>
      <c r="H761" s="125"/>
      <c r="I761" s="125"/>
      <c r="J761" s="125"/>
      <c r="K761" s="125"/>
      <c r="L761" s="125"/>
      <c r="M761" s="125"/>
      <c r="N761" s="125"/>
      <c r="O761" s="125"/>
      <c r="P761" s="125"/>
      <c r="Q761" s="125"/>
      <c r="R761" s="125"/>
    </row>
    <row r="762" spans="1:18" ht="15.75" customHeight="1">
      <c r="A762" s="125"/>
      <c r="B762" s="125"/>
      <c r="C762" s="125"/>
      <c r="D762" s="125"/>
      <c r="E762" s="125"/>
      <c r="F762" s="125"/>
      <c r="G762" s="125"/>
      <c r="H762" s="125"/>
      <c r="I762" s="125"/>
      <c r="J762" s="125"/>
      <c r="K762" s="125"/>
      <c r="L762" s="125"/>
      <c r="M762" s="125"/>
      <c r="N762" s="125"/>
      <c r="O762" s="125"/>
      <c r="P762" s="125"/>
      <c r="Q762" s="125"/>
      <c r="R762" s="125"/>
    </row>
    <row r="763" spans="1:18" ht="15.75" customHeight="1">
      <c r="A763" s="125"/>
      <c r="B763" s="125"/>
      <c r="C763" s="125"/>
      <c r="D763" s="125"/>
      <c r="E763" s="125"/>
      <c r="F763" s="125"/>
      <c r="G763" s="125"/>
      <c r="H763" s="125"/>
      <c r="I763" s="125"/>
      <c r="J763" s="125"/>
      <c r="K763" s="125"/>
      <c r="L763" s="125"/>
      <c r="M763" s="125"/>
      <c r="N763" s="125"/>
      <c r="O763" s="125"/>
      <c r="P763" s="125"/>
      <c r="Q763" s="125"/>
      <c r="R763" s="125"/>
    </row>
    <row r="764" spans="1:18" ht="15.75" customHeight="1">
      <c r="A764" s="125"/>
      <c r="B764" s="125"/>
      <c r="C764" s="125"/>
      <c r="D764" s="125"/>
      <c r="E764" s="125"/>
      <c r="F764" s="125"/>
      <c r="G764" s="125"/>
      <c r="H764" s="125"/>
      <c r="I764" s="125"/>
      <c r="J764" s="125"/>
      <c r="K764" s="125"/>
      <c r="L764" s="125"/>
      <c r="M764" s="125"/>
      <c r="N764" s="125"/>
      <c r="O764" s="125"/>
      <c r="P764" s="125"/>
      <c r="Q764" s="125"/>
      <c r="R764" s="125"/>
    </row>
    <row r="765" spans="1:18" ht="15.75" customHeight="1">
      <c r="A765" s="125"/>
      <c r="B765" s="125"/>
      <c r="C765" s="125"/>
      <c r="D765" s="125"/>
      <c r="E765" s="125"/>
      <c r="F765" s="125"/>
      <c r="G765" s="125"/>
      <c r="H765" s="125"/>
      <c r="I765" s="125"/>
      <c r="J765" s="125"/>
      <c r="K765" s="125"/>
      <c r="L765" s="125"/>
      <c r="M765" s="125"/>
      <c r="N765" s="125"/>
      <c r="O765" s="125"/>
      <c r="P765" s="125"/>
      <c r="Q765" s="125"/>
      <c r="R765" s="125"/>
    </row>
    <row r="766" spans="1:18" ht="15.75" customHeight="1">
      <c r="A766" s="125"/>
      <c r="B766" s="125"/>
      <c r="C766" s="125"/>
      <c r="D766" s="125"/>
      <c r="E766" s="125"/>
      <c r="F766" s="125"/>
      <c r="G766" s="125"/>
      <c r="H766" s="125"/>
      <c r="I766" s="125"/>
      <c r="J766" s="125"/>
      <c r="K766" s="125"/>
      <c r="L766" s="125"/>
      <c r="M766" s="125"/>
      <c r="N766" s="125"/>
      <c r="O766" s="125"/>
      <c r="P766" s="125"/>
      <c r="Q766" s="125"/>
      <c r="R766" s="125"/>
    </row>
    <row r="767" spans="1:18" ht="15.75" customHeight="1">
      <c r="A767" s="125"/>
      <c r="B767" s="125"/>
      <c r="C767" s="125"/>
      <c r="D767" s="125"/>
      <c r="E767" s="125"/>
      <c r="F767" s="125"/>
      <c r="G767" s="125"/>
      <c r="H767" s="125"/>
      <c r="I767" s="125"/>
      <c r="J767" s="125"/>
      <c r="K767" s="125"/>
      <c r="L767" s="125"/>
      <c r="M767" s="125"/>
      <c r="N767" s="125"/>
      <c r="O767" s="125"/>
      <c r="P767" s="125"/>
      <c r="Q767" s="125"/>
      <c r="R767" s="125"/>
    </row>
    <row r="768" spans="1:18" ht="15.75" customHeight="1">
      <c r="A768" s="125"/>
      <c r="B768" s="125"/>
      <c r="C768" s="125"/>
      <c r="D768" s="125"/>
      <c r="E768" s="125"/>
      <c r="F768" s="125"/>
      <c r="G768" s="125"/>
      <c r="H768" s="125"/>
      <c r="I768" s="125"/>
      <c r="J768" s="125"/>
      <c r="K768" s="125"/>
      <c r="L768" s="125"/>
      <c r="M768" s="125"/>
      <c r="N768" s="125"/>
      <c r="O768" s="125"/>
      <c r="P768" s="125"/>
      <c r="Q768" s="125"/>
      <c r="R768" s="125"/>
    </row>
    <row r="769" spans="1:18" ht="15.75" customHeight="1">
      <c r="A769" s="125"/>
      <c r="B769" s="125"/>
      <c r="C769" s="125"/>
      <c r="D769" s="125"/>
      <c r="E769" s="125"/>
      <c r="F769" s="125"/>
      <c r="G769" s="125"/>
      <c r="H769" s="125"/>
      <c r="I769" s="125"/>
      <c r="J769" s="125"/>
      <c r="K769" s="125"/>
      <c r="L769" s="125"/>
      <c r="M769" s="125"/>
      <c r="N769" s="125"/>
      <c r="O769" s="125"/>
      <c r="P769" s="125"/>
      <c r="Q769" s="125"/>
      <c r="R769" s="125"/>
    </row>
    <row r="770" spans="1:18" ht="15.75" customHeight="1">
      <c r="A770" s="125"/>
      <c r="B770" s="125"/>
      <c r="C770" s="125"/>
      <c r="D770" s="125"/>
      <c r="E770" s="125"/>
      <c r="F770" s="125"/>
      <c r="G770" s="125"/>
      <c r="H770" s="125"/>
      <c r="I770" s="125"/>
      <c r="J770" s="125"/>
      <c r="K770" s="125"/>
      <c r="L770" s="125"/>
      <c r="M770" s="125"/>
      <c r="N770" s="125"/>
      <c r="O770" s="125"/>
      <c r="P770" s="125"/>
      <c r="Q770" s="125"/>
      <c r="R770" s="125"/>
    </row>
    <row r="771" spans="1:18" ht="15.75" customHeight="1">
      <c r="A771" s="125"/>
      <c r="B771" s="125"/>
      <c r="C771" s="125"/>
      <c r="D771" s="125"/>
      <c r="E771" s="125"/>
      <c r="F771" s="125"/>
      <c r="G771" s="125"/>
      <c r="H771" s="125"/>
      <c r="I771" s="125"/>
      <c r="J771" s="125"/>
      <c r="K771" s="125"/>
      <c r="L771" s="125"/>
      <c r="M771" s="125"/>
      <c r="N771" s="125"/>
      <c r="O771" s="125"/>
      <c r="P771" s="125"/>
      <c r="Q771" s="125"/>
      <c r="R771" s="125"/>
    </row>
    <row r="772" spans="1:18" ht="15.75" customHeight="1">
      <c r="A772" s="125"/>
      <c r="B772" s="125"/>
      <c r="C772" s="125"/>
      <c r="D772" s="125"/>
      <c r="E772" s="125"/>
      <c r="F772" s="125"/>
      <c r="G772" s="125"/>
      <c r="H772" s="125"/>
      <c r="I772" s="125"/>
      <c r="J772" s="125"/>
      <c r="K772" s="125"/>
      <c r="L772" s="125"/>
      <c r="M772" s="125"/>
      <c r="N772" s="125"/>
      <c r="O772" s="125"/>
      <c r="P772" s="125"/>
      <c r="Q772" s="125"/>
      <c r="R772" s="125"/>
    </row>
    <row r="773" spans="1:18" ht="15.75" customHeight="1">
      <c r="A773" s="125"/>
      <c r="B773" s="125"/>
      <c r="C773" s="125"/>
      <c r="D773" s="125"/>
      <c r="E773" s="125"/>
      <c r="F773" s="125"/>
      <c r="G773" s="125"/>
      <c r="H773" s="125"/>
      <c r="I773" s="125"/>
      <c r="J773" s="125"/>
      <c r="K773" s="125"/>
      <c r="L773" s="125"/>
      <c r="M773" s="125"/>
      <c r="N773" s="125"/>
      <c r="O773" s="125"/>
      <c r="P773" s="125"/>
      <c r="Q773" s="125"/>
      <c r="R773" s="125"/>
    </row>
    <row r="774" spans="1:18" ht="15.75" customHeight="1">
      <c r="A774" s="125"/>
      <c r="B774" s="125"/>
      <c r="C774" s="125"/>
      <c r="D774" s="125"/>
      <c r="E774" s="125"/>
      <c r="F774" s="125"/>
      <c r="G774" s="125"/>
      <c r="H774" s="125"/>
      <c r="I774" s="125"/>
      <c r="J774" s="125"/>
      <c r="K774" s="125"/>
      <c r="L774" s="125"/>
      <c r="M774" s="125"/>
      <c r="N774" s="125"/>
      <c r="O774" s="125"/>
      <c r="P774" s="125"/>
      <c r="Q774" s="125"/>
      <c r="R774" s="125"/>
    </row>
    <row r="775" spans="1:18" ht="15.75" customHeight="1">
      <c r="A775" s="125"/>
      <c r="B775" s="125"/>
      <c r="C775" s="125"/>
      <c r="D775" s="125"/>
      <c r="E775" s="125"/>
      <c r="F775" s="125"/>
      <c r="G775" s="125"/>
      <c r="H775" s="125"/>
      <c r="I775" s="125"/>
      <c r="J775" s="125"/>
      <c r="K775" s="125"/>
      <c r="L775" s="125"/>
      <c r="M775" s="125"/>
      <c r="N775" s="125"/>
      <c r="O775" s="125"/>
      <c r="P775" s="125"/>
      <c r="Q775" s="125"/>
      <c r="R775" s="125"/>
    </row>
    <row r="776" spans="1:18" ht="15.75" customHeight="1">
      <c r="A776" s="125"/>
      <c r="B776" s="125"/>
      <c r="C776" s="125"/>
      <c r="D776" s="125"/>
      <c r="E776" s="125"/>
      <c r="F776" s="125"/>
      <c r="G776" s="125"/>
      <c r="H776" s="125"/>
      <c r="I776" s="125"/>
      <c r="J776" s="125"/>
      <c r="K776" s="125"/>
      <c r="L776" s="125"/>
      <c r="M776" s="125"/>
      <c r="N776" s="125"/>
      <c r="O776" s="125"/>
      <c r="P776" s="125"/>
      <c r="Q776" s="125"/>
      <c r="R776" s="125"/>
    </row>
    <row r="777" spans="1:18" ht="15.75" customHeight="1">
      <c r="A777" s="125"/>
      <c r="B777" s="125"/>
      <c r="C777" s="125"/>
      <c r="D777" s="125"/>
      <c r="E777" s="125"/>
      <c r="F777" s="125"/>
      <c r="G777" s="125"/>
      <c r="H777" s="125"/>
      <c r="I777" s="125"/>
      <c r="J777" s="125"/>
      <c r="K777" s="125"/>
      <c r="L777" s="125"/>
      <c r="M777" s="125"/>
      <c r="N777" s="125"/>
      <c r="O777" s="125"/>
      <c r="P777" s="125"/>
      <c r="Q777" s="125"/>
      <c r="R777" s="125"/>
    </row>
    <row r="778" spans="1:18" ht="15.75" customHeight="1">
      <c r="A778" s="125"/>
      <c r="B778" s="125"/>
      <c r="C778" s="125"/>
      <c r="D778" s="125"/>
      <c r="E778" s="125"/>
      <c r="F778" s="125"/>
      <c r="G778" s="125"/>
      <c r="H778" s="125"/>
      <c r="I778" s="125"/>
      <c r="J778" s="125"/>
      <c r="K778" s="125"/>
      <c r="L778" s="125"/>
      <c r="M778" s="125"/>
      <c r="N778" s="125"/>
      <c r="O778" s="125"/>
      <c r="P778" s="125"/>
      <c r="Q778" s="125"/>
      <c r="R778" s="125"/>
    </row>
    <row r="779" spans="1:18" ht="15.75" customHeight="1">
      <c r="A779" s="125"/>
      <c r="B779" s="125"/>
      <c r="C779" s="125"/>
      <c r="D779" s="125"/>
      <c r="E779" s="125"/>
      <c r="F779" s="125"/>
      <c r="G779" s="125"/>
      <c r="H779" s="125"/>
      <c r="I779" s="125"/>
      <c r="J779" s="125"/>
      <c r="K779" s="125"/>
      <c r="L779" s="125"/>
      <c r="M779" s="125"/>
      <c r="N779" s="125"/>
      <c r="O779" s="125"/>
      <c r="P779" s="125"/>
      <c r="Q779" s="125"/>
      <c r="R779" s="125"/>
    </row>
    <row r="780" spans="1:18" ht="15.75" customHeight="1">
      <c r="A780" s="125"/>
      <c r="B780" s="125"/>
      <c r="C780" s="125"/>
      <c r="D780" s="125"/>
      <c r="E780" s="125"/>
      <c r="F780" s="125"/>
      <c r="G780" s="125"/>
      <c r="H780" s="125"/>
      <c r="I780" s="125"/>
      <c r="J780" s="125"/>
      <c r="K780" s="125"/>
      <c r="L780" s="125"/>
      <c r="M780" s="125"/>
      <c r="N780" s="125"/>
      <c r="O780" s="125"/>
      <c r="P780" s="125"/>
      <c r="Q780" s="125"/>
      <c r="R780" s="125"/>
    </row>
    <row r="781" spans="1:18" ht="15.75" customHeight="1"/>
    <row r="782" spans="1:18" ht="15.75" customHeight="1"/>
    <row r="783" spans="1:18" ht="15.75" customHeight="1"/>
    <row r="784" spans="1:18"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2" location="SUMMARY!A1" display="Summary!A1"/>
    <hyperlink ref="B2" location="null!C23" display="Page Consolidation"/>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sheetPr>
    <outlinePr summaryBelow="0" summaryRight="0"/>
  </sheetPr>
  <dimension ref="A3:Z1000"/>
  <sheetViews>
    <sheetView workbookViewId="0"/>
  </sheetViews>
  <sheetFormatPr defaultColWidth="12.59765625" defaultRowHeight="15" customHeight="1"/>
  <cols>
    <col min="1" max="1" width="37.19921875" customWidth="1"/>
    <col min="2" max="2" width="127.3984375" customWidth="1"/>
    <col min="3" max="6" width="12.59765625" customWidth="1"/>
  </cols>
  <sheetData>
    <row r="3" spans="1:26" ht="22.2">
      <c r="A3" s="201" t="s">
        <v>962</v>
      </c>
    </row>
    <row r="4" spans="1:26" ht="14.4">
      <c r="A4" s="202" t="s">
        <v>963</v>
      </c>
      <c r="B4" s="1" t="s">
        <v>964</v>
      </c>
      <c r="D4" s="1" t="s">
        <v>965</v>
      </c>
    </row>
    <row r="5" spans="1:26" ht="15" customHeight="1">
      <c r="A5" s="203" t="s">
        <v>966</v>
      </c>
      <c r="B5" s="1" t="s">
        <v>967</v>
      </c>
    </row>
    <row r="6" spans="1:26" ht="15" customHeight="1">
      <c r="A6" s="203" t="s">
        <v>968</v>
      </c>
      <c r="B6" s="1" t="s">
        <v>969</v>
      </c>
    </row>
    <row r="7" spans="1:26" ht="15" customHeight="1">
      <c r="A7" s="14"/>
      <c r="B7" s="14"/>
      <c r="C7" s="14"/>
      <c r="D7" s="14"/>
      <c r="E7" s="14"/>
      <c r="F7" s="14"/>
      <c r="G7" s="14"/>
      <c r="H7" s="14"/>
      <c r="I7" s="14"/>
      <c r="J7" s="14"/>
      <c r="K7" s="14"/>
      <c r="L7" s="14"/>
      <c r="M7" s="14"/>
      <c r="N7" s="14"/>
      <c r="O7" s="14"/>
      <c r="P7" s="14"/>
      <c r="Q7" s="14"/>
      <c r="R7" s="14"/>
      <c r="S7" s="14"/>
      <c r="T7" s="14"/>
      <c r="U7" s="14"/>
      <c r="V7" s="14"/>
      <c r="W7" s="14"/>
      <c r="X7" s="14"/>
      <c r="Y7" s="14"/>
      <c r="Z7" s="14"/>
    </row>
    <row r="8" spans="1:26" ht="21">
      <c r="A8" s="204" t="s">
        <v>970</v>
      </c>
    </row>
    <row r="9" spans="1:26" ht="15" customHeight="1">
      <c r="A9" s="203" t="s">
        <v>971</v>
      </c>
      <c r="B9" s="4" t="s">
        <v>972</v>
      </c>
    </row>
    <row r="10" spans="1:26" ht="15" customHeight="1">
      <c r="A10" s="203" t="s">
        <v>973</v>
      </c>
      <c r="B10" s="4" t="s">
        <v>974</v>
      </c>
    </row>
    <row r="11" spans="1:26" ht="15" customHeight="1">
      <c r="A11" s="205" t="s">
        <v>975</v>
      </c>
      <c r="B11" s="206" t="s">
        <v>976</v>
      </c>
      <c r="D11" s="1" t="s">
        <v>977</v>
      </c>
    </row>
    <row r="12" spans="1:26" ht="15" customHeight="1">
      <c r="A12" s="203" t="s">
        <v>978</v>
      </c>
      <c r="B12" s="1" t="s">
        <v>979</v>
      </c>
    </row>
    <row r="13" spans="1:26" ht="15" customHeight="1">
      <c r="A13" s="203" t="s">
        <v>980</v>
      </c>
      <c r="B13" s="1" t="s">
        <v>981</v>
      </c>
    </row>
    <row r="16" spans="1:26" ht="21">
      <c r="A16" s="204" t="s">
        <v>982</v>
      </c>
    </row>
    <row r="17" spans="1:2" ht="14.4">
      <c r="A17" s="1" t="s">
        <v>983</v>
      </c>
      <c r="B17" s="1" t="s">
        <v>984</v>
      </c>
    </row>
    <row r="18" spans="1:2" ht="14.4">
      <c r="A18" s="1" t="s">
        <v>985</v>
      </c>
      <c r="B18" s="1" t="s">
        <v>986</v>
      </c>
    </row>
    <row r="19" spans="1:2" ht="14.4">
      <c r="A19" s="1" t="s">
        <v>987</v>
      </c>
      <c r="B19" s="1" t="s">
        <v>988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11" r:id="rId1"/>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sheetPr>
    <tabColor rgb="FFC00000"/>
  </sheetPr>
  <dimension ref="B2:AL1000"/>
  <sheetViews>
    <sheetView workbookViewId="0"/>
  </sheetViews>
  <sheetFormatPr defaultColWidth="12.59765625" defaultRowHeight="15" customHeight="1"/>
  <cols>
    <col min="1" max="2" width="7.59765625" customWidth="1"/>
    <col min="3" max="3" width="16.09765625" customWidth="1"/>
    <col min="4" max="4" width="8.69921875" customWidth="1"/>
    <col min="5" max="14" width="2.69921875" customWidth="1"/>
    <col min="15" max="15" width="3.19921875" customWidth="1"/>
    <col min="16" max="24" width="2.69921875" customWidth="1"/>
    <col min="25" max="25" width="3.19921875" customWidth="1"/>
    <col min="26" max="31" width="2.69921875" customWidth="1"/>
    <col min="32" max="33" width="3.5" customWidth="1"/>
    <col min="34" max="34" width="2.69921875" customWidth="1"/>
    <col min="35" max="38" width="7.59765625" customWidth="1"/>
  </cols>
  <sheetData>
    <row r="2" spans="2:38" ht="14.4">
      <c r="E2" s="246" t="s">
        <v>989</v>
      </c>
      <c r="F2" s="223"/>
      <c r="G2" s="223"/>
      <c r="H2" s="223"/>
      <c r="I2" s="224"/>
      <c r="J2" s="245" t="s">
        <v>990</v>
      </c>
      <c r="K2" s="223"/>
      <c r="L2" s="223"/>
      <c r="M2" s="223"/>
      <c r="N2" s="224"/>
      <c r="O2" s="222" t="s">
        <v>991</v>
      </c>
      <c r="P2" s="223"/>
      <c r="Q2" s="223"/>
      <c r="R2" s="223"/>
      <c r="S2" s="224"/>
      <c r="T2" s="245" t="s">
        <v>992</v>
      </c>
      <c r="U2" s="223"/>
      <c r="V2" s="223"/>
      <c r="W2" s="223"/>
      <c r="X2" s="224"/>
      <c r="Y2" s="222" t="s">
        <v>993</v>
      </c>
      <c r="Z2" s="223"/>
      <c r="AA2" s="223"/>
      <c r="AB2" s="223"/>
      <c r="AC2" s="224"/>
      <c r="AD2" s="245" t="s">
        <v>994</v>
      </c>
      <c r="AE2" s="223"/>
      <c r="AF2" s="223"/>
      <c r="AG2" s="223"/>
      <c r="AH2" s="224"/>
      <c r="AL2" s="18" t="s">
        <v>995</v>
      </c>
    </row>
    <row r="3" spans="2:38" ht="14.4">
      <c r="B3" s="198" t="s">
        <v>3</v>
      </c>
      <c r="C3" s="198" t="s">
        <v>37</v>
      </c>
      <c r="D3" s="207" t="s">
        <v>5</v>
      </c>
      <c r="E3" s="208" t="s">
        <v>996</v>
      </c>
      <c r="F3" s="208" t="s">
        <v>997</v>
      </c>
      <c r="G3" s="208" t="s">
        <v>998</v>
      </c>
      <c r="H3" s="208" t="s">
        <v>999</v>
      </c>
      <c r="I3" s="208" t="s">
        <v>1000</v>
      </c>
      <c r="J3" s="209" t="s">
        <v>996</v>
      </c>
      <c r="K3" s="209" t="s">
        <v>997</v>
      </c>
      <c r="L3" s="209" t="s">
        <v>998</v>
      </c>
      <c r="M3" s="209" t="s">
        <v>999</v>
      </c>
      <c r="N3" s="209" t="s">
        <v>1000</v>
      </c>
      <c r="O3" s="210" t="s">
        <v>996</v>
      </c>
      <c r="P3" s="210" t="s">
        <v>997</v>
      </c>
      <c r="Q3" s="210" t="s">
        <v>998</v>
      </c>
      <c r="R3" s="210" t="s">
        <v>999</v>
      </c>
      <c r="S3" s="210" t="s">
        <v>1000</v>
      </c>
      <c r="T3" s="209" t="s">
        <v>996</v>
      </c>
      <c r="U3" s="209" t="s">
        <v>997</v>
      </c>
      <c r="V3" s="209" t="s">
        <v>998</v>
      </c>
      <c r="W3" s="209" t="s">
        <v>999</v>
      </c>
      <c r="X3" s="209" t="s">
        <v>1000</v>
      </c>
      <c r="Y3" s="210" t="s">
        <v>996</v>
      </c>
      <c r="Z3" s="210" t="s">
        <v>997</v>
      </c>
      <c r="AA3" s="210" t="s">
        <v>998</v>
      </c>
      <c r="AB3" s="210" t="s">
        <v>999</v>
      </c>
      <c r="AC3" s="210" t="s">
        <v>1000</v>
      </c>
      <c r="AD3" s="209" t="s">
        <v>996</v>
      </c>
      <c r="AE3" s="209" t="s">
        <v>997</v>
      </c>
      <c r="AF3" s="209" t="s">
        <v>998</v>
      </c>
      <c r="AG3" s="209" t="s">
        <v>999</v>
      </c>
      <c r="AH3" s="209" t="s">
        <v>1000</v>
      </c>
      <c r="AL3" s="18"/>
    </row>
    <row r="4" spans="2:38" ht="14.4">
      <c r="B4" s="198">
        <v>1</v>
      </c>
      <c r="C4" s="198" t="s">
        <v>1001</v>
      </c>
      <c r="D4" s="207">
        <v>65</v>
      </c>
      <c r="E4" s="208"/>
      <c r="F4" s="208"/>
      <c r="G4" s="208"/>
      <c r="H4" s="208"/>
      <c r="I4" s="208"/>
      <c r="J4" s="209"/>
      <c r="K4" s="209"/>
      <c r="L4" s="209"/>
      <c r="M4" s="209"/>
      <c r="N4" s="209"/>
      <c r="O4" s="210"/>
      <c r="P4" s="210"/>
      <c r="Q4" s="210"/>
      <c r="R4" s="210"/>
      <c r="S4" s="210"/>
      <c r="T4" s="209"/>
      <c r="U4" s="209"/>
      <c r="V4" s="209"/>
      <c r="W4" s="209"/>
      <c r="X4" s="209"/>
      <c r="Y4" s="210"/>
      <c r="Z4" s="210"/>
      <c r="AA4" s="210"/>
      <c r="AB4" s="210"/>
      <c r="AC4" s="210"/>
      <c r="AD4" s="209"/>
      <c r="AE4" s="209"/>
      <c r="AF4" s="209"/>
      <c r="AG4" s="209"/>
      <c r="AH4" s="209"/>
      <c r="AL4" s="18"/>
    </row>
    <row r="5" spans="2:38" ht="14.4">
      <c r="B5" s="198">
        <v>2</v>
      </c>
      <c r="C5" s="198" t="s">
        <v>1002</v>
      </c>
      <c r="D5" s="207">
        <v>73</v>
      </c>
      <c r="E5" s="208">
        <v>73</v>
      </c>
      <c r="F5" s="208"/>
      <c r="G5" s="208"/>
      <c r="H5" s="208"/>
      <c r="I5" s="208"/>
      <c r="J5" s="209"/>
      <c r="K5" s="209"/>
      <c r="L5" s="209"/>
      <c r="M5" s="209"/>
      <c r="N5" s="209"/>
      <c r="O5" s="210"/>
      <c r="P5" s="210"/>
      <c r="Q5" s="210"/>
      <c r="R5" s="210"/>
      <c r="S5" s="210"/>
      <c r="T5" s="209"/>
      <c r="U5" s="209"/>
      <c r="V5" s="209"/>
      <c r="W5" s="209"/>
      <c r="X5" s="209"/>
      <c r="Y5" s="210"/>
      <c r="Z5" s="210"/>
      <c r="AA5" s="210"/>
      <c r="AB5" s="210"/>
      <c r="AC5" s="210"/>
      <c r="AD5" s="209"/>
      <c r="AE5" s="209"/>
      <c r="AF5" s="209"/>
      <c r="AG5" s="209"/>
      <c r="AH5" s="209"/>
      <c r="AL5" s="18">
        <f t="shared" ref="AL5:AL20" si="0">SUM(E5:AH5)-D5</f>
        <v>0</v>
      </c>
    </row>
    <row r="6" spans="2:38" ht="14.4">
      <c r="B6" s="198">
        <v>3</v>
      </c>
      <c r="C6" s="198" t="s">
        <v>1003</v>
      </c>
      <c r="D6" s="207">
        <v>114</v>
      </c>
      <c r="E6" s="208">
        <v>10</v>
      </c>
      <c r="F6" s="208">
        <v>60</v>
      </c>
      <c r="G6" s="208"/>
      <c r="H6" s="208"/>
      <c r="I6" s="208"/>
      <c r="J6" s="209">
        <v>44</v>
      </c>
      <c r="K6" s="209"/>
      <c r="L6" s="209"/>
      <c r="M6" s="209"/>
      <c r="N6" s="209"/>
      <c r="O6" s="210"/>
      <c r="P6" s="210"/>
      <c r="Q6" s="210"/>
      <c r="R6" s="210"/>
      <c r="S6" s="210"/>
      <c r="T6" s="209"/>
      <c r="U6" s="209"/>
      <c r="V6" s="209"/>
      <c r="W6" s="209"/>
      <c r="X6" s="209"/>
      <c r="Y6" s="210"/>
      <c r="Z6" s="210"/>
      <c r="AA6" s="210"/>
      <c r="AB6" s="210"/>
      <c r="AC6" s="210"/>
      <c r="AD6" s="209"/>
      <c r="AE6" s="209"/>
      <c r="AF6" s="209"/>
      <c r="AG6" s="209"/>
      <c r="AH6" s="209"/>
      <c r="AL6" s="18">
        <f t="shared" si="0"/>
        <v>0</v>
      </c>
    </row>
    <row r="7" spans="2:38" ht="14.4">
      <c r="B7" s="198">
        <v>4</v>
      </c>
      <c r="C7" s="198" t="s">
        <v>1004</v>
      </c>
      <c r="D7" s="207">
        <v>238</v>
      </c>
      <c r="E7" s="208"/>
      <c r="F7" s="208"/>
      <c r="G7" s="211">
        <v>80</v>
      </c>
      <c r="H7" s="208"/>
      <c r="I7" s="208"/>
      <c r="J7" s="209">
        <v>20</v>
      </c>
      <c r="K7" s="209">
        <v>80</v>
      </c>
      <c r="L7" s="212"/>
      <c r="M7" s="209"/>
      <c r="N7" s="209"/>
      <c r="O7" s="210">
        <v>58</v>
      </c>
      <c r="P7" s="210"/>
      <c r="Q7" s="213"/>
      <c r="R7" s="210"/>
      <c r="S7" s="210"/>
      <c r="T7" s="209"/>
      <c r="U7" s="209"/>
      <c r="V7" s="212"/>
      <c r="W7" s="209"/>
      <c r="X7" s="209"/>
      <c r="Y7" s="210"/>
      <c r="Z7" s="210"/>
      <c r="AA7" s="213"/>
      <c r="AB7" s="210"/>
      <c r="AC7" s="210"/>
      <c r="AD7" s="209"/>
      <c r="AE7" s="209"/>
      <c r="AF7" s="212"/>
      <c r="AG7" s="209"/>
      <c r="AH7" s="209"/>
      <c r="AL7" s="18">
        <f t="shared" si="0"/>
        <v>0</v>
      </c>
    </row>
    <row r="8" spans="2:38" ht="14.4">
      <c r="B8" s="198">
        <v>5</v>
      </c>
      <c r="C8" s="198" t="s">
        <v>1005</v>
      </c>
      <c r="D8" s="207">
        <v>129</v>
      </c>
      <c r="E8" s="208"/>
      <c r="F8" s="208"/>
      <c r="G8" s="208"/>
      <c r="H8" s="208">
        <v>50</v>
      </c>
      <c r="I8" s="208"/>
      <c r="J8" s="209"/>
      <c r="K8" s="209"/>
      <c r="L8" s="209">
        <v>50</v>
      </c>
      <c r="M8" s="209"/>
      <c r="N8" s="209"/>
      <c r="O8" s="210"/>
      <c r="P8" s="210">
        <v>29</v>
      </c>
      <c r="Q8" s="210"/>
      <c r="R8" s="210"/>
      <c r="S8" s="210"/>
      <c r="T8" s="209"/>
      <c r="U8" s="209"/>
      <c r="V8" s="209"/>
      <c r="W8" s="209"/>
      <c r="X8" s="209"/>
      <c r="Y8" s="210"/>
      <c r="Z8" s="210"/>
      <c r="AA8" s="210"/>
      <c r="AB8" s="210"/>
      <c r="AC8" s="210"/>
      <c r="AD8" s="209"/>
      <c r="AE8" s="209"/>
      <c r="AF8" s="209"/>
      <c r="AG8" s="209"/>
      <c r="AH8" s="209"/>
      <c r="AL8" s="18">
        <f t="shared" si="0"/>
        <v>0</v>
      </c>
    </row>
    <row r="9" spans="2:38" ht="14.4">
      <c r="B9" s="198">
        <v>6</v>
      </c>
      <c r="C9" s="198" t="s">
        <v>1006</v>
      </c>
      <c r="D9" s="207">
        <v>202</v>
      </c>
      <c r="E9" s="208"/>
      <c r="F9" s="208"/>
      <c r="G9" s="208"/>
      <c r="H9" s="208"/>
      <c r="I9" s="208">
        <v>40</v>
      </c>
      <c r="J9" s="209"/>
      <c r="K9" s="209"/>
      <c r="L9" s="209"/>
      <c r="M9" s="209">
        <v>40</v>
      </c>
      <c r="N9" s="209"/>
      <c r="O9" s="210"/>
      <c r="P9" s="210"/>
      <c r="Q9" s="210">
        <v>40</v>
      </c>
      <c r="R9" s="210"/>
      <c r="S9" s="210"/>
      <c r="T9" s="209">
        <v>40</v>
      </c>
      <c r="U9" s="209"/>
      <c r="V9" s="209"/>
      <c r="W9" s="209"/>
      <c r="X9" s="209"/>
      <c r="Y9" s="210">
        <v>42</v>
      </c>
      <c r="Z9" s="210"/>
      <c r="AA9" s="210"/>
      <c r="AB9" s="210"/>
      <c r="AC9" s="210"/>
      <c r="AD9" s="209"/>
      <c r="AE9" s="209"/>
      <c r="AF9" s="209"/>
      <c r="AG9" s="209"/>
      <c r="AH9" s="209"/>
      <c r="AL9" s="18">
        <f t="shared" si="0"/>
        <v>0</v>
      </c>
    </row>
    <row r="10" spans="2:38" ht="14.4">
      <c r="B10" s="198">
        <v>7</v>
      </c>
      <c r="C10" s="198" t="s">
        <v>1007</v>
      </c>
      <c r="D10" s="207">
        <v>162</v>
      </c>
      <c r="E10" s="208"/>
      <c r="F10" s="208"/>
      <c r="G10" s="208"/>
      <c r="H10" s="208"/>
      <c r="I10" s="208"/>
      <c r="J10" s="209"/>
      <c r="K10" s="209"/>
      <c r="L10" s="209"/>
      <c r="M10" s="209"/>
      <c r="N10" s="209">
        <v>40</v>
      </c>
      <c r="O10" s="210"/>
      <c r="P10" s="210"/>
      <c r="Q10" s="210"/>
      <c r="R10" s="210">
        <v>40</v>
      </c>
      <c r="S10" s="210"/>
      <c r="T10" s="209"/>
      <c r="U10" s="209">
        <v>40</v>
      </c>
      <c r="V10" s="209"/>
      <c r="W10" s="209"/>
      <c r="X10" s="209"/>
      <c r="Y10" s="210"/>
      <c r="Z10" s="210">
        <v>42</v>
      </c>
      <c r="AA10" s="210"/>
      <c r="AB10" s="210"/>
      <c r="AC10" s="210"/>
      <c r="AD10" s="209"/>
      <c r="AE10" s="209"/>
      <c r="AF10" s="209"/>
      <c r="AG10" s="209"/>
      <c r="AH10" s="209"/>
      <c r="AL10" s="18">
        <f t="shared" si="0"/>
        <v>0</v>
      </c>
    </row>
    <row r="11" spans="2:38" ht="14.4">
      <c r="B11" s="198">
        <v>8</v>
      </c>
      <c r="C11" s="198" t="s">
        <v>1008</v>
      </c>
      <c r="D11" s="207">
        <v>153</v>
      </c>
      <c r="E11" s="208"/>
      <c r="F11" s="208"/>
      <c r="G11" s="208"/>
      <c r="H11" s="208"/>
      <c r="I11" s="208"/>
      <c r="J11" s="209"/>
      <c r="K11" s="209"/>
      <c r="L11" s="209"/>
      <c r="M11" s="209"/>
      <c r="N11" s="209"/>
      <c r="O11" s="210"/>
      <c r="P11" s="210">
        <v>10</v>
      </c>
      <c r="Q11" s="210"/>
      <c r="R11" s="210"/>
      <c r="S11" s="210">
        <v>30</v>
      </c>
      <c r="T11" s="209"/>
      <c r="U11" s="209"/>
      <c r="V11" s="209">
        <v>40</v>
      </c>
      <c r="W11" s="209"/>
      <c r="X11" s="209"/>
      <c r="Y11" s="210"/>
      <c r="Z11" s="210"/>
      <c r="AA11" s="210">
        <v>40</v>
      </c>
      <c r="AB11" s="210"/>
      <c r="AC11" s="210"/>
      <c r="AD11" s="209">
        <v>33</v>
      </c>
      <c r="AE11" s="209"/>
      <c r="AF11" s="209"/>
      <c r="AG11" s="209"/>
      <c r="AH11" s="209"/>
      <c r="AL11" s="18">
        <f t="shared" si="0"/>
        <v>0</v>
      </c>
    </row>
    <row r="12" spans="2:38" ht="14.4">
      <c r="B12" s="198">
        <v>9</v>
      </c>
      <c r="C12" s="198" t="s">
        <v>1009</v>
      </c>
      <c r="D12" s="207">
        <v>65</v>
      </c>
      <c r="E12" s="208"/>
      <c r="F12" s="208"/>
      <c r="G12" s="208"/>
      <c r="H12" s="208"/>
      <c r="I12" s="208"/>
      <c r="J12" s="209"/>
      <c r="K12" s="209"/>
      <c r="L12" s="209"/>
      <c r="M12" s="209"/>
      <c r="N12" s="209"/>
      <c r="O12" s="210"/>
      <c r="P12" s="210"/>
      <c r="Q12" s="210"/>
      <c r="R12" s="210"/>
      <c r="S12" s="210"/>
      <c r="T12" s="209"/>
      <c r="U12" s="209"/>
      <c r="V12" s="209"/>
      <c r="W12" s="209">
        <v>65</v>
      </c>
      <c r="X12" s="209"/>
      <c r="Y12" s="210"/>
      <c r="Z12" s="210"/>
      <c r="AA12" s="210"/>
      <c r="AB12" s="210"/>
      <c r="AC12" s="210"/>
      <c r="AD12" s="209"/>
      <c r="AE12" s="209"/>
      <c r="AF12" s="209"/>
      <c r="AG12" s="209"/>
      <c r="AH12" s="209"/>
      <c r="AL12" s="18">
        <f t="shared" si="0"/>
        <v>0</v>
      </c>
    </row>
    <row r="13" spans="2:38" ht="14.4">
      <c r="B13" s="198">
        <v>10</v>
      </c>
      <c r="C13" s="198" t="s">
        <v>1010</v>
      </c>
      <c r="D13" s="207">
        <v>129</v>
      </c>
      <c r="E13" s="208"/>
      <c r="F13" s="208"/>
      <c r="G13" s="208"/>
      <c r="H13" s="208"/>
      <c r="I13" s="208"/>
      <c r="J13" s="209"/>
      <c r="K13" s="209"/>
      <c r="L13" s="209"/>
      <c r="M13" s="209"/>
      <c r="N13" s="209"/>
      <c r="O13" s="210"/>
      <c r="P13" s="210"/>
      <c r="Q13" s="210"/>
      <c r="R13" s="210"/>
      <c r="S13" s="210"/>
      <c r="T13" s="209"/>
      <c r="U13" s="209"/>
      <c r="V13" s="209"/>
      <c r="W13" s="209"/>
      <c r="X13" s="209">
        <v>43</v>
      </c>
      <c r="Y13" s="210"/>
      <c r="Z13" s="210"/>
      <c r="AA13" s="210"/>
      <c r="AB13" s="210">
        <v>40</v>
      </c>
      <c r="AC13" s="210"/>
      <c r="AD13" s="209"/>
      <c r="AE13" s="209">
        <v>46</v>
      </c>
      <c r="AF13" s="209"/>
      <c r="AG13" s="209"/>
      <c r="AH13" s="209"/>
      <c r="AL13" s="18">
        <f t="shared" si="0"/>
        <v>0</v>
      </c>
    </row>
    <row r="14" spans="2:38" ht="14.4">
      <c r="B14" s="198">
        <v>11</v>
      </c>
      <c r="C14" s="198" t="s">
        <v>1011</v>
      </c>
      <c r="D14" s="207">
        <v>124</v>
      </c>
      <c r="E14" s="208"/>
      <c r="F14" s="208"/>
      <c r="G14" s="208"/>
      <c r="H14" s="208"/>
      <c r="I14" s="208"/>
      <c r="J14" s="209"/>
      <c r="K14" s="209"/>
      <c r="L14" s="209"/>
      <c r="M14" s="209"/>
      <c r="N14" s="209"/>
      <c r="O14" s="210"/>
      <c r="P14" s="210"/>
      <c r="Q14" s="210"/>
      <c r="R14" s="210"/>
      <c r="S14" s="210"/>
      <c r="T14" s="209"/>
      <c r="U14" s="209"/>
      <c r="V14" s="209"/>
      <c r="W14" s="209"/>
      <c r="X14" s="209">
        <v>62</v>
      </c>
      <c r="Y14" s="210"/>
      <c r="Z14" s="210"/>
      <c r="AA14" s="210"/>
      <c r="AB14" s="210">
        <v>62</v>
      </c>
      <c r="AC14" s="210"/>
      <c r="AD14" s="209"/>
      <c r="AE14" s="209"/>
      <c r="AF14" s="209"/>
      <c r="AG14" s="209"/>
      <c r="AH14" s="209"/>
      <c r="AL14" s="18">
        <f t="shared" si="0"/>
        <v>0</v>
      </c>
    </row>
    <row r="15" spans="2:38" ht="14.4">
      <c r="B15" s="198">
        <v>12</v>
      </c>
      <c r="C15" s="198" t="s">
        <v>1012</v>
      </c>
      <c r="D15" s="207">
        <v>68</v>
      </c>
      <c r="E15" s="208"/>
      <c r="F15" s="208"/>
      <c r="G15" s="208"/>
      <c r="H15" s="208"/>
      <c r="I15" s="208"/>
      <c r="J15" s="209"/>
      <c r="K15" s="209"/>
      <c r="L15" s="209"/>
      <c r="M15" s="209"/>
      <c r="N15" s="209"/>
      <c r="O15" s="210"/>
      <c r="P15" s="210"/>
      <c r="Q15" s="210"/>
      <c r="R15" s="210"/>
      <c r="S15" s="210"/>
      <c r="T15" s="209"/>
      <c r="U15" s="209"/>
      <c r="V15" s="209"/>
      <c r="W15" s="209"/>
      <c r="X15" s="209"/>
      <c r="Y15" s="210"/>
      <c r="Z15" s="210"/>
      <c r="AA15" s="210"/>
      <c r="AB15" s="210"/>
      <c r="AC15" s="210">
        <v>68</v>
      </c>
      <c r="AD15" s="209"/>
      <c r="AE15" s="209"/>
      <c r="AF15" s="209"/>
      <c r="AG15" s="209"/>
      <c r="AH15" s="209"/>
      <c r="AL15" s="18">
        <f t="shared" si="0"/>
        <v>0</v>
      </c>
    </row>
    <row r="16" spans="2:38" ht="14.4">
      <c r="B16" s="198">
        <v>13</v>
      </c>
      <c r="C16" s="198" t="s">
        <v>1013</v>
      </c>
      <c r="D16" s="207">
        <v>270</v>
      </c>
      <c r="E16" s="208"/>
      <c r="F16" s="208"/>
      <c r="G16" s="208"/>
      <c r="H16" s="208"/>
      <c r="I16" s="208"/>
      <c r="J16" s="209"/>
      <c r="K16" s="209"/>
      <c r="L16" s="209"/>
      <c r="M16" s="209"/>
      <c r="N16" s="209"/>
      <c r="O16" s="210"/>
      <c r="P16" s="210"/>
      <c r="Q16" s="210"/>
      <c r="R16" s="210"/>
      <c r="S16" s="210"/>
      <c r="T16" s="209"/>
      <c r="U16" s="209"/>
      <c r="V16" s="209"/>
      <c r="W16" s="209"/>
      <c r="X16" s="209"/>
      <c r="Y16" s="210"/>
      <c r="Z16" s="210"/>
      <c r="AA16" s="210"/>
      <c r="AB16" s="210"/>
      <c r="AC16" s="210"/>
      <c r="AD16" s="209"/>
      <c r="AE16" s="209">
        <v>70</v>
      </c>
      <c r="AF16" s="209">
        <v>100</v>
      </c>
      <c r="AG16" s="209">
        <v>100</v>
      </c>
      <c r="AH16" s="209"/>
      <c r="AL16" s="18">
        <f t="shared" si="0"/>
        <v>0</v>
      </c>
    </row>
    <row r="17" spans="2:38" ht="14.4">
      <c r="B17" s="198">
        <v>14</v>
      </c>
      <c r="C17" s="198" t="s">
        <v>1014</v>
      </c>
      <c r="D17" s="207">
        <v>11</v>
      </c>
      <c r="E17" s="208"/>
      <c r="F17" s="208"/>
      <c r="G17" s="208"/>
      <c r="H17" s="208"/>
      <c r="I17" s="208"/>
      <c r="J17" s="209"/>
      <c r="K17" s="209"/>
      <c r="L17" s="209"/>
      <c r="M17" s="209"/>
      <c r="N17" s="209"/>
      <c r="O17" s="210">
        <v>11</v>
      </c>
      <c r="P17" s="210"/>
      <c r="Q17" s="210"/>
      <c r="R17" s="210"/>
      <c r="S17" s="210"/>
      <c r="T17" s="209"/>
      <c r="U17" s="209"/>
      <c r="V17" s="209"/>
      <c r="W17" s="209"/>
      <c r="X17" s="209"/>
      <c r="Y17" s="210"/>
      <c r="Z17" s="210"/>
      <c r="AA17" s="210"/>
      <c r="AB17" s="210"/>
      <c r="AC17" s="210"/>
      <c r="AD17" s="209"/>
      <c r="AE17" s="209"/>
      <c r="AF17" s="209"/>
      <c r="AG17" s="209"/>
      <c r="AH17" s="209"/>
      <c r="AL17" s="18">
        <f t="shared" si="0"/>
        <v>0</v>
      </c>
    </row>
    <row r="18" spans="2:38" ht="14.4">
      <c r="B18" s="198">
        <v>15</v>
      </c>
      <c r="C18" s="198" t="s">
        <v>1015</v>
      </c>
      <c r="D18" s="207">
        <v>80</v>
      </c>
      <c r="E18" s="208"/>
      <c r="F18" s="208"/>
      <c r="G18" s="208"/>
      <c r="H18" s="208"/>
      <c r="I18" s="208"/>
      <c r="J18" s="209"/>
      <c r="K18" s="209"/>
      <c r="L18" s="209"/>
      <c r="M18" s="209"/>
      <c r="N18" s="209"/>
      <c r="O18" s="210"/>
      <c r="P18" s="210"/>
      <c r="Q18" s="210"/>
      <c r="R18" s="210"/>
      <c r="S18" s="210"/>
      <c r="T18" s="209"/>
      <c r="U18" s="209"/>
      <c r="V18" s="209"/>
      <c r="W18" s="209">
        <v>28</v>
      </c>
      <c r="X18" s="209"/>
      <c r="Y18" s="210"/>
      <c r="Z18" s="210"/>
      <c r="AA18" s="210"/>
      <c r="AB18" s="210"/>
      <c r="AC18" s="210"/>
      <c r="AD18" s="209"/>
      <c r="AE18" s="209"/>
      <c r="AF18" s="209"/>
      <c r="AG18" s="209"/>
      <c r="AH18" s="209">
        <v>52</v>
      </c>
      <c r="AL18" s="18">
        <f t="shared" si="0"/>
        <v>0</v>
      </c>
    </row>
    <row r="19" spans="2:38" ht="14.4">
      <c r="B19" s="198">
        <v>16</v>
      </c>
      <c r="C19" s="198" t="s">
        <v>1016</v>
      </c>
      <c r="D19" s="207">
        <v>6</v>
      </c>
      <c r="E19" s="208">
        <v>6</v>
      </c>
      <c r="F19" s="208"/>
      <c r="G19" s="208"/>
      <c r="H19" s="208"/>
      <c r="I19" s="208"/>
      <c r="J19" s="209"/>
      <c r="K19" s="209"/>
      <c r="L19" s="209"/>
      <c r="M19" s="209"/>
      <c r="N19" s="209"/>
      <c r="O19" s="210"/>
      <c r="P19" s="210"/>
      <c r="Q19" s="210"/>
      <c r="R19" s="210"/>
      <c r="S19" s="210"/>
      <c r="T19" s="209"/>
      <c r="U19" s="209"/>
      <c r="V19" s="209"/>
      <c r="W19" s="209"/>
      <c r="X19" s="209"/>
      <c r="Y19" s="210"/>
      <c r="Z19" s="210"/>
      <c r="AA19" s="210"/>
      <c r="AB19" s="210"/>
      <c r="AC19" s="210"/>
      <c r="AD19" s="209"/>
      <c r="AE19" s="209"/>
      <c r="AF19" s="209"/>
      <c r="AG19" s="209"/>
      <c r="AH19" s="209"/>
      <c r="AL19" s="18">
        <f t="shared" si="0"/>
        <v>0</v>
      </c>
    </row>
    <row r="20" spans="2:38" ht="14.4">
      <c r="B20" s="198">
        <v>17</v>
      </c>
      <c r="C20" s="198" t="s">
        <v>39</v>
      </c>
      <c r="D20" s="214">
        <f>SUM(D4:D19)</f>
        <v>1889</v>
      </c>
      <c r="E20" s="246">
        <f>SUM(E4:I19)</f>
        <v>319</v>
      </c>
      <c r="F20" s="223"/>
      <c r="G20" s="223"/>
      <c r="H20" s="223"/>
      <c r="I20" s="224"/>
      <c r="J20" s="245">
        <f>SUM(J4:N19)</f>
        <v>274</v>
      </c>
      <c r="K20" s="223"/>
      <c r="L20" s="223"/>
      <c r="M20" s="223"/>
      <c r="N20" s="224"/>
      <c r="O20" s="222">
        <f>SUM(O4:S19)</f>
        <v>218</v>
      </c>
      <c r="P20" s="223"/>
      <c r="Q20" s="223"/>
      <c r="R20" s="223"/>
      <c r="S20" s="224"/>
      <c r="T20" s="245">
        <f>SUM(T4:X19)</f>
        <v>318</v>
      </c>
      <c r="U20" s="223"/>
      <c r="V20" s="223"/>
      <c r="W20" s="223"/>
      <c r="X20" s="224"/>
      <c r="Y20" s="222">
        <f>SUM(Y4:AC19)</f>
        <v>294</v>
      </c>
      <c r="Z20" s="223"/>
      <c r="AA20" s="223"/>
      <c r="AB20" s="223"/>
      <c r="AC20" s="224"/>
      <c r="AD20" s="245">
        <f>SUM(AD4:AH19)</f>
        <v>401</v>
      </c>
      <c r="AE20" s="223"/>
      <c r="AF20" s="223"/>
      <c r="AG20" s="223"/>
      <c r="AH20" s="224"/>
      <c r="AL20" s="18">
        <f t="shared" si="0"/>
        <v>-65</v>
      </c>
    </row>
    <row r="21" spans="2:38" ht="15.75" customHeight="1"/>
    <row r="22" spans="2:38" ht="15.75" customHeight="1"/>
    <row r="23" spans="2:38" ht="15.75" customHeight="1">
      <c r="C23" s="215" t="s">
        <v>1017</v>
      </c>
      <c r="E23" s="1">
        <v>1</v>
      </c>
      <c r="F23" s="1">
        <v>1</v>
      </c>
      <c r="G23" s="1">
        <v>1</v>
      </c>
      <c r="H23" s="1">
        <v>1</v>
      </c>
      <c r="I23" s="1">
        <v>1</v>
      </c>
      <c r="J23" s="1">
        <v>1</v>
      </c>
      <c r="K23" s="1">
        <v>1</v>
      </c>
      <c r="L23" s="1">
        <v>1</v>
      </c>
      <c r="M23" s="1">
        <v>1</v>
      </c>
      <c r="N23" s="1">
        <v>3</v>
      </c>
      <c r="O23" s="1">
        <v>1</v>
      </c>
      <c r="P23" s="1">
        <v>1</v>
      </c>
      <c r="Q23" s="1">
        <v>1</v>
      </c>
      <c r="R23" s="1">
        <v>1</v>
      </c>
      <c r="S23" s="1">
        <v>3</v>
      </c>
      <c r="T23" s="1">
        <v>1</v>
      </c>
      <c r="U23" s="1">
        <v>1</v>
      </c>
      <c r="V23" s="1">
        <v>3</v>
      </c>
      <c r="W23" s="1">
        <v>1</v>
      </c>
      <c r="X23" s="1">
        <v>1</v>
      </c>
      <c r="Y23" s="1">
        <v>1</v>
      </c>
      <c r="Z23" s="1">
        <v>1</v>
      </c>
      <c r="AA23" s="1">
        <v>3</v>
      </c>
      <c r="AB23" s="1">
        <v>1</v>
      </c>
      <c r="AC23" s="1">
        <v>1</v>
      </c>
      <c r="AD23" s="1">
        <v>3</v>
      </c>
      <c r="AE23" s="1">
        <v>1</v>
      </c>
      <c r="AF23" s="1">
        <v>1</v>
      </c>
      <c r="AG23" s="1">
        <v>1</v>
      </c>
      <c r="AH23" s="1">
        <v>1</v>
      </c>
    </row>
    <row r="24" spans="2:38" ht="15.75" customHeight="1">
      <c r="C24" s="215" t="s">
        <v>1018</v>
      </c>
      <c r="E24" s="1">
        <v>1</v>
      </c>
      <c r="F24" s="1">
        <v>1</v>
      </c>
      <c r="G24" s="1">
        <v>1</v>
      </c>
      <c r="H24" s="1">
        <v>1</v>
      </c>
      <c r="I24" s="1">
        <v>1</v>
      </c>
      <c r="J24" s="1">
        <v>1</v>
      </c>
      <c r="K24" s="1">
        <v>1</v>
      </c>
      <c r="L24" s="1">
        <v>1</v>
      </c>
      <c r="M24" s="1">
        <v>3</v>
      </c>
      <c r="N24" s="1">
        <v>1</v>
      </c>
      <c r="O24" s="1">
        <v>1</v>
      </c>
      <c r="P24" s="1">
        <v>1</v>
      </c>
      <c r="Q24" s="1">
        <v>1</v>
      </c>
      <c r="R24" s="1">
        <v>3</v>
      </c>
      <c r="S24" s="1">
        <v>1</v>
      </c>
      <c r="T24" s="1">
        <v>1</v>
      </c>
      <c r="U24" s="1">
        <v>3</v>
      </c>
      <c r="V24" s="1">
        <v>1</v>
      </c>
      <c r="W24" s="1">
        <v>1</v>
      </c>
      <c r="X24" s="1">
        <v>1</v>
      </c>
      <c r="Y24" s="1">
        <v>1</v>
      </c>
      <c r="Z24" s="1">
        <v>3</v>
      </c>
      <c r="AA24" s="1">
        <v>1</v>
      </c>
      <c r="AB24" s="1">
        <v>1</v>
      </c>
      <c r="AC24" s="1">
        <v>1</v>
      </c>
      <c r="AD24" s="1">
        <v>1</v>
      </c>
      <c r="AE24" s="1">
        <v>1</v>
      </c>
      <c r="AF24" s="1">
        <v>1</v>
      </c>
      <c r="AG24" s="1">
        <v>1</v>
      </c>
      <c r="AH24" s="1">
        <v>1</v>
      </c>
    </row>
    <row r="25" spans="2:38" ht="15.75" customHeight="1"/>
    <row r="26" spans="2:38" ht="15.75" customHeight="1">
      <c r="C26" s="215" t="s">
        <v>1019</v>
      </c>
      <c r="E26" s="246">
        <v>5</v>
      </c>
      <c r="F26" s="223"/>
      <c r="G26" s="223"/>
      <c r="H26" s="223"/>
      <c r="I26" s="224"/>
      <c r="J26" s="245">
        <v>7</v>
      </c>
      <c r="K26" s="223"/>
      <c r="L26" s="223"/>
      <c r="M26" s="223"/>
      <c r="N26" s="224"/>
      <c r="O26" s="222">
        <v>7</v>
      </c>
      <c r="P26" s="223"/>
      <c r="Q26" s="223"/>
      <c r="R26" s="223"/>
      <c r="S26" s="224"/>
      <c r="T26" s="245">
        <v>7</v>
      </c>
      <c r="U26" s="223"/>
      <c r="V26" s="223"/>
      <c r="W26" s="223"/>
      <c r="X26" s="224"/>
      <c r="Y26" s="222">
        <v>7</v>
      </c>
      <c r="Z26" s="223"/>
      <c r="AA26" s="223"/>
      <c r="AB26" s="223"/>
      <c r="AC26" s="224"/>
      <c r="AD26" s="245">
        <v>7</v>
      </c>
      <c r="AE26" s="223"/>
      <c r="AF26" s="223"/>
      <c r="AG26" s="223"/>
      <c r="AH26" s="224"/>
    </row>
    <row r="27" spans="2:38" ht="15.75" customHeight="1">
      <c r="C27" s="215" t="s">
        <v>1020</v>
      </c>
      <c r="E27" s="246">
        <v>5</v>
      </c>
      <c r="F27" s="223"/>
      <c r="G27" s="223"/>
      <c r="H27" s="223"/>
      <c r="I27" s="224"/>
      <c r="J27" s="245">
        <v>7</v>
      </c>
      <c r="K27" s="223"/>
      <c r="L27" s="223"/>
      <c r="M27" s="223"/>
      <c r="N27" s="224"/>
      <c r="O27" s="222">
        <v>7</v>
      </c>
      <c r="P27" s="223"/>
      <c r="Q27" s="223"/>
      <c r="R27" s="223"/>
      <c r="S27" s="224"/>
      <c r="T27" s="245">
        <v>7</v>
      </c>
      <c r="U27" s="223"/>
      <c r="V27" s="223"/>
      <c r="W27" s="223"/>
      <c r="X27" s="224"/>
      <c r="Y27" s="222">
        <v>7</v>
      </c>
      <c r="Z27" s="223"/>
      <c r="AA27" s="223"/>
      <c r="AB27" s="223"/>
      <c r="AC27" s="224"/>
      <c r="AD27" s="245">
        <v>7</v>
      </c>
      <c r="AE27" s="223"/>
      <c r="AF27" s="223"/>
      <c r="AG27" s="223"/>
      <c r="AH27" s="224"/>
    </row>
    <row r="28" spans="2:38" ht="15.75" customHeight="1"/>
    <row r="29" spans="2:38" ht="15.75" customHeight="1"/>
    <row r="30" spans="2:38" ht="15.75" customHeight="1"/>
    <row r="31" spans="2:38" ht="15.75" customHeight="1"/>
    <row r="32" spans="2:3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AD2:AH2"/>
    <mergeCell ref="E20:I20"/>
    <mergeCell ref="AD20:AH20"/>
    <mergeCell ref="E26:I26"/>
    <mergeCell ref="E2:I2"/>
    <mergeCell ref="J2:N2"/>
    <mergeCell ref="O2:S2"/>
    <mergeCell ref="T2:X2"/>
    <mergeCell ref="Y2:AC2"/>
    <mergeCell ref="E27:I27"/>
    <mergeCell ref="J27:N27"/>
    <mergeCell ref="O27:S27"/>
    <mergeCell ref="T27:X27"/>
    <mergeCell ref="Y27:AC27"/>
    <mergeCell ref="AD27:AH27"/>
    <mergeCell ref="J20:N20"/>
    <mergeCell ref="O20:S20"/>
    <mergeCell ref="J26:N26"/>
    <mergeCell ref="O26:S26"/>
    <mergeCell ref="T26:X26"/>
    <mergeCell ref="Y26:AC26"/>
    <mergeCell ref="T20:X20"/>
    <mergeCell ref="Y20:AC20"/>
    <mergeCell ref="AD26:AH2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9</vt:i4>
      </vt:variant>
    </vt:vector>
  </HeadingPairs>
  <TitlesOfParts>
    <vt:vector size="9" baseType="lpstr">
      <vt:lpstr>SUMMARY</vt:lpstr>
      <vt:lpstr>Automation</vt:lpstr>
      <vt:lpstr>Forget_Page</vt:lpstr>
      <vt:lpstr>Copy of Add_Switchboard_pras</vt:lpstr>
      <vt:lpstr>Copy of Add_Switchboard_OLD</vt:lpstr>
      <vt:lpstr>Issue_Track</vt:lpstr>
      <vt:lpstr>FeatureList</vt:lpstr>
      <vt:lpstr>Software Readiness</vt:lpstr>
      <vt:lpstr>Resource_Summary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Invcuser_71</cp:lastModifiedBy>
  <dcterms:modified xsi:type="dcterms:W3CDTF">2025-12-26T12:55:24Z</dcterms:modified>
</cp:coreProperties>
</file>